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600nn\Desktop\"/>
    </mc:Choice>
  </mc:AlternateContent>
  <xr:revisionPtr revIDLastSave="0" documentId="13_ncr:1_{8723B28E-A4B5-4E1B-80EC-6B4D2FAD851C}" xr6:coauthVersionLast="47" xr6:coauthVersionMax="47" xr10:uidLastSave="{00000000-0000-0000-0000-000000000000}"/>
  <bookViews>
    <workbookView xWindow="16035" yWindow="945" windowWidth="12240" windowHeight="14280" activeTab="2" xr2:uid="{00000000-000D-0000-FFFF-FFFF00000000}"/>
  </bookViews>
  <sheets>
    <sheet name="57" sheetId="3" r:id="rId1"/>
    <sheet name="1285" sheetId="1" r:id="rId2"/>
    <sheet name="1292" sheetId="2" r:id="rId3"/>
    <sheet name="8-64" sheetId="4" r:id="rId4"/>
    <sheet name="686" sheetId="5" r:id="rId5"/>
    <sheet name="690" sheetId="6" r:id="rId6"/>
    <sheet name="485" sheetId="7" r:id="rId7"/>
    <sheet name="959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rUirFlcGtqZ1PpDHdGi3dgsVj0avJqnk0KrZEWa+U+k="/>
    </ext>
  </extLst>
</workbook>
</file>

<file path=xl/calcChain.xml><?xml version="1.0" encoding="utf-8"?>
<calcChain xmlns="http://schemas.openxmlformats.org/spreadsheetml/2006/main">
  <c r="M38" i="1" l="1"/>
  <c r="N38" i="1"/>
  <c r="M39" i="1"/>
  <c r="N39" i="1"/>
  <c r="M40" i="1"/>
  <c r="N40" i="1"/>
  <c r="M41" i="1"/>
  <c r="N41" i="1"/>
  <c r="M42" i="1"/>
  <c r="N42" i="1"/>
  <c r="E38" i="1"/>
  <c r="F38" i="1"/>
  <c r="G38" i="1"/>
  <c r="H38" i="1"/>
  <c r="I38" i="1"/>
  <c r="J38" i="1"/>
  <c r="K38" i="1"/>
  <c r="L38" i="1"/>
  <c r="E39" i="1"/>
  <c r="F39" i="1"/>
  <c r="G39" i="1"/>
  <c r="H39" i="1"/>
  <c r="I39" i="1"/>
  <c r="J39" i="1"/>
  <c r="K39" i="1"/>
  <c r="L39" i="1"/>
  <c r="E40" i="1"/>
  <c r="F40" i="1"/>
  <c r="G40" i="1"/>
  <c r="H40" i="1"/>
  <c r="I40" i="1"/>
  <c r="J40" i="1"/>
  <c r="K40" i="1"/>
  <c r="L40" i="1"/>
  <c r="E41" i="1"/>
  <c r="F41" i="1"/>
  <c r="G41" i="1"/>
  <c r="H41" i="1"/>
  <c r="I41" i="1"/>
  <c r="J41" i="1"/>
  <c r="K41" i="1"/>
  <c r="L41" i="1"/>
  <c r="E42" i="1"/>
  <c r="F42" i="1"/>
  <c r="G42" i="1"/>
  <c r="H42" i="1"/>
  <c r="I42" i="1"/>
  <c r="J42" i="1"/>
  <c r="K42" i="1"/>
  <c r="L42" i="1"/>
  <c r="D42" i="1"/>
  <c r="D41" i="1"/>
  <c r="D40" i="1"/>
  <c r="D39" i="1"/>
  <c r="D38" i="1"/>
  <c r="C39" i="1"/>
  <c r="C40" i="1"/>
  <c r="C41" i="1"/>
  <c r="C42" i="1"/>
  <c r="C38" i="1"/>
  <c r="G46" i="3"/>
  <c r="F46" i="3"/>
  <c r="D47" i="3"/>
  <c r="B42" i="1"/>
  <c r="B41" i="1"/>
  <c r="B40" i="1"/>
  <c r="B39" i="1"/>
  <c r="B38" i="1"/>
  <c r="N40" i="2"/>
  <c r="K40" i="2"/>
  <c r="J40" i="2"/>
  <c r="I40" i="2"/>
  <c r="H40" i="2"/>
  <c r="G40" i="2"/>
  <c r="F40" i="2"/>
  <c r="E40" i="2"/>
  <c r="D40" i="2"/>
  <c r="C40" i="2"/>
  <c r="B40" i="2"/>
  <c r="N39" i="2"/>
  <c r="K39" i="2"/>
  <c r="J39" i="2"/>
  <c r="I39" i="2"/>
  <c r="H39" i="2"/>
  <c r="G39" i="2"/>
  <c r="F39" i="2"/>
  <c r="E39" i="2"/>
  <c r="D39" i="2"/>
  <c r="C39" i="2"/>
  <c r="B39" i="2"/>
  <c r="N37" i="2"/>
  <c r="K37" i="2"/>
  <c r="J37" i="2"/>
  <c r="I37" i="2"/>
  <c r="H37" i="2"/>
  <c r="G37" i="2"/>
  <c r="F37" i="2"/>
  <c r="E37" i="2"/>
  <c r="D37" i="2"/>
  <c r="C37" i="2"/>
  <c r="B37" i="2"/>
  <c r="N41" i="2"/>
  <c r="K41" i="2"/>
  <c r="J41" i="2"/>
  <c r="I41" i="2"/>
  <c r="H41" i="2"/>
  <c r="G41" i="2"/>
  <c r="F41" i="2"/>
  <c r="E41" i="2"/>
  <c r="D41" i="2"/>
  <c r="C41" i="2"/>
  <c r="B41" i="2"/>
  <c r="N38" i="2"/>
  <c r="K38" i="2"/>
  <c r="J38" i="2"/>
  <c r="I38" i="2"/>
  <c r="H38" i="2"/>
  <c r="G38" i="2"/>
  <c r="F38" i="2"/>
  <c r="E38" i="2"/>
  <c r="D38" i="2"/>
  <c r="C38" i="2"/>
  <c r="B38" i="2"/>
  <c r="D49" i="3"/>
  <c r="D48" i="3"/>
  <c r="D46" i="3"/>
  <c r="D45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N28" i="2"/>
  <c r="N27" i="2"/>
  <c r="N26" i="2"/>
  <c r="N25" i="2"/>
  <c r="N24" i="2"/>
  <c r="K28" i="2"/>
  <c r="K27" i="2"/>
  <c r="K26" i="2"/>
  <c r="K25" i="2"/>
  <c r="K24" i="2"/>
  <c r="J28" i="2"/>
  <c r="J27" i="2"/>
  <c r="J26" i="2"/>
  <c r="J25" i="2"/>
  <c r="J24" i="2"/>
  <c r="R34" i="3"/>
  <c r="R33" i="3"/>
  <c r="R32" i="3"/>
  <c r="R31" i="3"/>
  <c r="R30" i="3"/>
  <c r="P34" i="3"/>
  <c r="P33" i="3"/>
  <c r="P32" i="3"/>
  <c r="P31" i="3"/>
  <c r="P30" i="3"/>
  <c r="F30" i="3"/>
  <c r="N32" i="3"/>
  <c r="L14" i="3"/>
  <c r="L13" i="3"/>
  <c r="L12" i="3"/>
  <c r="L11" i="3"/>
  <c r="L10" i="3"/>
  <c r="F34" i="3"/>
  <c r="F33" i="3"/>
  <c r="F32" i="3"/>
  <c r="F31" i="3"/>
  <c r="H34" i="3"/>
  <c r="H33" i="3"/>
  <c r="H32" i="3"/>
  <c r="H31" i="3"/>
  <c r="H30" i="3"/>
  <c r="J34" i="3"/>
  <c r="J33" i="3"/>
  <c r="J32" i="3"/>
  <c r="J31" i="3"/>
  <c r="J30" i="3"/>
  <c r="L34" i="3"/>
  <c r="L33" i="3"/>
  <c r="L32" i="3"/>
  <c r="L31" i="3"/>
  <c r="L30" i="3"/>
  <c r="N31" i="3"/>
  <c r="N33" i="3"/>
  <c r="N34" i="3"/>
  <c r="N30" i="3"/>
  <c r="I29" i="1"/>
  <c r="I28" i="1"/>
  <c r="I27" i="1"/>
  <c r="I26" i="1"/>
  <c r="I25" i="1"/>
  <c r="I28" i="2"/>
  <c r="I27" i="2"/>
  <c r="I26" i="2"/>
  <c r="I25" i="2"/>
  <c r="I24" i="2"/>
  <c r="H29" i="1"/>
  <c r="H28" i="1"/>
  <c r="H27" i="1"/>
  <c r="H26" i="1"/>
  <c r="H25" i="1"/>
  <c r="H28" i="2"/>
  <c r="H27" i="2"/>
  <c r="H26" i="2"/>
  <c r="H25" i="2"/>
  <c r="H24" i="2"/>
  <c r="F29" i="1"/>
  <c r="F28" i="1"/>
  <c r="F27" i="1"/>
  <c r="F26" i="1"/>
  <c r="F25" i="1"/>
  <c r="F28" i="2"/>
  <c r="F27" i="2"/>
  <c r="F26" i="2"/>
  <c r="F25" i="2"/>
  <c r="F24" i="2"/>
  <c r="K34" i="3"/>
  <c r="K33" i="3"/>
  <c r="K32" i="3"/>
  <c r="K31" i="3"/>
  <c r="K30" i="3"/>
  <c r="J12" i="8"/>
  <c r="I12" i="8"/>
  <c r="J11" i="8"/>
  <c r="I11" i="8"/>
  <c r="J10" i="8"/>
  <c r="I10" i="8"/>
  <c r="J9" i="8"/>
  <c r="I9" i="8"/>
  <c r="J8" i="8"/>
  <c r="I8" i="8"/>
  <c r="J12" i="7"/>
  <c r="I12" i="7"/>
  <c r="J11" i="7"/>
  <c r="I11" i="7"/>
  <c r="J10" i="7"/>
  <c r="I10" i="7"/>
  <c r="J9" i="7"/>
  <c r="I9" i="7"/>
  <c r="J8" i="7"/>
  <c r="I8" i="7"/>
  <c r="I12" i="6"/>
  <c r="I11" i="6"/>
  <c r="I10" i="6"/>
  <c r="I9" i="6"/>
  <c r="I8" i="6"/>
  <c r="I12" i="5"/>
  <c r="I11" i="5"/>
  <c r="I10" i="5"/>
  <c r="I9" i="5"/>
  <c r="I8" i="5"/>
  <c r="N29" i="4"/>
  <c r="M29" i="4"/>
  <c r="L29" i="4"/>
  <c r="K29" i="4"/>
  <c r="J29" i="4"/>
  <c r="G29" i="4"/>
  <c r="D29" i="4"/>
  <c r="N28" i="4"/>
  <c r="M28" i="4"/>
  <c r="L28" i="4"/>
  <c r="K28" i="4"/>
  <c r="J28" i="4"/>
  <c r="G28" i="4"/>
  <c r="D28" i="4"/>
  <c r="N27" i="4"/>
  <c r="M27" i="4"/>
  <c r="L27" i="4"/>
  <c r="K27" i="4"/>
  <c r="J27" i="4"/>
  <c r="G27" i="4"/>
  <c r="D27" i="4"/>
  <c r="N26" i="4"/>
  <c r="M26" i="4"/>
  <c r="L26" i="4"/>
  <c r="K26" i="4"/>
  <c r="J26" i="4"/>
  <c r="G26" i="4"/>
  <c r="D26" i="4"/>
  <c r="N25" i="4"/>
  <c r="M25" i="4"/>
  <c r="L25" i="4"/>
  <c r="K25" i="4"/>
  <c r="J25" i="4"/>
  <c r="G25" i="4"/>
  <c r="D25" i="4"/>
  <c r="N13" i="4"/>
  <c r="M13" i="4"/>
  <c r="L13" i="4"/>
  <c r="K13" i="4"/>
  <c r="J13" i="4"/>
  <c r="G13" i="4"/>
  <c r="N12" i="4"/>
  <c r="M12" i="4"/>
  <c r="L12" i="4"/>
  <c r="K12" i="4"/>
  <c r="J12" i="4"/>
  <c r="G12" i="4"/>
  <c r="N11" i="4"/>
  <c r="M11" i="4"/>
  <c r="L11" i="4"/>
  <c r="K11" i="4"/>
  <c r="J11" i="4"/>
  <c r="G11" i="4"/>
  <c r="N10" i="4"/>
  <c r="M10" i="4"/>
  <c r="L10" i="4"/>
  <c r="K10" i="4"/>
  <c r="J10" i="4"/>
  <c r="G10" i="4"/>
  <c r="N9" i="4"/>
  <c r="M9" i="4"/>
  <c r="L9" i="4"/>
  <c r="K9" i="4"/>
  <c r="J9" i="4"/>
  <c r="G9" i="4"/>
  <c r="AA34" i="3"/>
  <c r="Z34" i="3"/>
  <c r="Y34" i="3"/>
  <c r="X34" i="3"/>
  <c r="W34" i="3"/>
  <c r="V34" i="3"/>
  <c r="U34" i="3"/>
  <c r="T34" i="3"/>
  <c r="O34" i="3"/>
  <c r="M34" i="3"/>
  <c r="I34" i="3"/>
  <c r="G34" i="3"/>
  <c r="AA33" i="3"/>
  <c r="Z33" i="3"/>
  <c r="Y33" i="3"/>
  <c r="X33" i="3"/>
  <c r="W33" i="3"/>
  <c r="V33" i="3"/>
  <c r="U33" i="3"/>
  <c r="T33" i="3"/>
  <c r="O33" i="3"/>
  <c r="M33" i="3"/>
  <c r="I33" i="3"/>
  <c r="G33" i="3"/>
  <c r="D33" i="3"/>
  <c r="AA32" i="3"/>
  <c r="Z32" i="3"/>
  <c r="Y32" i="3"/>
  <c r="X32" i="3"/>
  <c r="W32" i="3"/>
  <c r="V32" i="3"/>
  <c r="U32" i="3"/>
  <c r="T32" i="3"/>
  <c r="S32" i="3"/>
  <c r="Q32" i="3"/>
  <c r="O32" i="3"/>
  <c r="M32" i="3"/>
  <c r="I32" i="3"/>
  <c r="G32" i="3"/>
  <c r="D32" i="3"/>
  <c r="AA31" i="3"/>
  <c r="Z31" i="3"/>
  <c r="Y31" i="3"/>
  <c r="X31" i="3"/>
  <c r="W31" i="3"/>
  <c r="V31" i="3"/>
  <c r="U31" i="3"/>
  <c r="T31" i="3"/>
  <c r="S31" i="3"/>
  <c r="Q31" i="3"/>
  <c r="O31" i="3"/>
  <c r="M31" i="3"/>
  <c r="I31" i="3"/>
  <c r="G31" i="3"/>
  <c r="D31" i="3"/>
  <c r="AA30" i="3"/>
  <c r="Z30" i="3"/>
  <c r="Y30" i="3"/>
  <c r="X30" i="3"/>
  <c r="W30" i="3"/>
  <c r="V30" i="3"/>
  <c r="U30" i="3"/>
  <c r="T30" i="3"/>
  <c r="S30" i="3"/>
  <c r="Q30" i="3"/>
  <c r="O30" i="3"/>
  <c r="M30" i="3"/>
  <c r="I30" i="3"/>
  <c r="G30" i="3"/>
  <c r="D30" i="3"/>
  <c r="D29" i="3"/>
  <c r="Q34" i="3"/>
  <c r="S33" i="3"/>
  <c r="AA16" i="3"/>
  <c r="Z16" i="3"/>
  <c r="Y16" i="3"/>
  <c r="X16" i="3"/>
  <c r="W16" i="3"/>
  <c r="V16" i="3"/>
  <c r="U16" i="3"/>
  <c r="T16" i="3"/>
  <c r="S16" i="3"/>
  <c r="Q16" i="3"/>
  <c r="O16" i="3"/>
  <c r="M16" i="3"/>
  <c r="AA15" i="3"/>
  <c r="Z15" i="3"/>
  <c r="Y15" i="3"/>
  <c r="X15" i="3"/>
  <c r="W15" i="3"/>
  <c r="V15" i="3"/>
  <c r="U15" i="3"/>
  <c r="T15" i="3"/>
  <c r="O15" i="3"/>
  <c r="M15" i="3"/>
  <c r="AA14" i="3"/>
  <c r="Z14" i="3"/>
  <c r="Y14" i="3"/>
  <c r="X14" i="3"/>
  <c r="W14" i="3"/>
  <c r="V14" i="3"/>
  <c r="U14" i="3"/>
  <c r="T14" i="3"/>
  <c r="O14" i="3"/>
  <c r="M14" i="3"/>
  <c r="AA13" i="3"/>
  <c r="Z13" i="3"/>
  <c r="Y13" i="3"/>
  <c r="X13" i="3"/>
  <c r="W13" i="3"/>
  <c r="V13" i="3"/>
  <c r="U13" i="3"/>
  <c r="T13" i="3"/>
  <c r="S13" i="3"/>
  <c r="Q13" i="3"/>
  <c r="O13" i="3"/>
  <c r="M13" i="3"/>
  <c r="AA12" i="3"/>
  <c r="Z12" i="3"/>
  <c r="Y12" i="3"/>
  <c r="X12" i="3"/>
  <c r="W12" i="3"/>
  <c r="V12" i="3"/>
  <c r="U12" i="3"/>
  <c r="T12" i="3"/>
  <c r="S12" i="3"/>
  <c r="Q12" i="3"/>
  <c r="O12" i="3"/>
  <c r="M12" i="3"/>
  <c r="AA11" i="3"/>
  <c r="Z11" i="3"/>
  <c r="Y11" i="3"/>
  <c r="X11" i="3"/>
  <c r="W11" i="3"/>
  <c r="V11" i="3"/>
  <c r="U11" i="3"/>
  <c r="T11" i="3"/>
  <c r="S11" i="3"/>
  <c r="Q11" i="3"/>
  <c r="O11" i="3"/>
  <c r="M11" i="3"/>
  <c r="Q9" i="3"/>
  <c r="S15" i="3" s="1"/>
  <c r="Q8" i="3"/>
  <c r="S14" i="3" s="1"/>
  <c r="G28" i="2"/>
  <c r="E28" i="2"/>
  <c r="D28" i="2"/>
  <c r="C28" i="2"/>
  <c r="B28" i="2"/>
  <c r="G27" i="2"/>
  <c r="E27" i="2"/>
  <c r="D27" i="2"/>
  <c r="C27" i="2"/>
  <c r="B27" i="2"/>
  <c r="G26" i="2"/>
  <c r="E26" i="2"/>
  <c r="D26" i="2"/>
  <c r="C26" i="2"/>
  <c r="B26" i="2"/>
  <c r="G25" i="2"/>
  <c r="E25" i="2"/>
  <c r="D25" i="2"/>
  <c r="C25" i="2"/>
  <c r="B25" i="2"/>
  <c r="G24" i="2"/>
  <c r="E24" i="2"/>
  <c r="D24" i="2"/>
  <c r="C24" i="2"/>
  <c r="B24" i="2"/>
  <c r="N13" i="2"/>
  <c r="M13" i="2"/>
  <c r="K13" i="2"/>
  <c r="J13" i="2"/>
  <c r="G13" i="2"/>
  <c r="N12" i="2"/>
  <c r="M12" i="2"/>
  <c r="K12" i="2"/>
  <c r="J12" i="2"/>
  <c r="G12" i="2"/>
  <c r="N11" i="2"/>
  <c r="M11" i="2"/>
  <c r="K11" i="2"/>
  <c r="J11" i="2"/>
  <c r="G11" i="2"/>
  <c r="N10" i="2"/>
  <c r="M10" i="2"/>
  <c r="K10" i="2"/>
  <c r="J10" i="2"/>
  <c r="G10" i="2"/>
  <c r="N9" i="2"/>
  <c r="M9" i="2"/>
  <c r="K9" i="2"/>
  <c r="J9" i="2"/>
  <c r="G9" i="2"/>
  <c r="N29" i="1"/>
  <c r="M29" i="1"/>
  <c r="L29" i="1"/>
  <c r="K29" i="1"/>
  <c r="J29" i="1"/>
  <c r="G29" i="1"/>
  <c r="E29" i="1"/>
  <c r="D29" i="1"/>
  <c r="C29" i="1"/>
  <c r="B29" i="1"/>
  <c r="N28" i="1"/>
  <c r="M28" i="1"/>
  <c r="L28" i="1"/>
  <c r="K28" i="1"/>
  <c r="J28" i="1"/>
  <c r="G28" i="1"/>
  <c r="E28" i="1"/>
  <c r="D28" i="1"/>
  <c r="C28" i="1"/>
  <c r="B28" i="1"/>
  <c r="N27" i="1"/>
  <c r="M27" i="1"/>
  <c r="L27" i="1"/>
  <c r="K27" i="1"/>
  <c r="J27" i="1"/>
  <c r="G27" i="1"/>
  <c r="E27" i="1"/>
  <c r="D27" i="1"/>
  <c r="C27" i="1"/>
  <c r="B27" i="1"/>
  <c r="N26" i="1"/>
  <c r="M26" i="1"/>
  <c r="L26" i="1"/>
  <c r="K26" i="1"/>
  <c r="J26" i="1"/>
  <c r="G26" i="1"/>
  <c r="E26" i="1"/>
  <c r="D26" i="1"/>
  <c r="C26" i="1"/>
  <c r="B26" i="1"/>
  <c r="N25" i="1"/>
  <c r="M25" i="1"/>
  <c r="L25" i="1"/>
  <c r="K25" i="1"/>
  <c r="J25" i="1"/>
  <c r="G25" i="1"/>
  <c r="E25" i="1"/>
  <c r="D25" i="1"/>
  <c r="C25" i="1"/>
  <c r="B25" i="1"/>
  <c r="N13" i="1"/>
  <c r="M13" i="1"/>
  <c r="L13" i="1"/>
  <c r="K13" i="1"/>
  <c r="J13" i="1"/>
  <c r="G13" i="1"/>
  <c r="N12" i="1"/>
  <c r="M12" i="1"/>
  <c r="L12" i="1"/>
  <c r="K12" i="1"/>
  <c r="J12" i="1"/>
  <c r="G12" i="1"/>
  <c r="N11" i="1"/>
  <c r="M11" i="1"/>
  <c r="L11" i="1"/>
  <c r="K11" i="1"/>
  <c r="J11" i="1"/>
  <c r="G11" i="1"/>
  <c r="N10" i="1"/>
  <c r="M10" i="1"/>
  <c r="L10" i="1"/>
  <c r="K10" i="1"/>
  <c r="J10" i="1"/>
  <c r="G10" i="1"/>
  <c r="N9" i="1"/>
  <c r="M9" i="1"/>
  <c r="L9" i="1"/>
  <c r="K9" i="1"/>
  <c r="J9" i="1"/>
  <c r="G9" i="1"/>
  <c r="S34" i="3" l="1"/>
  <c r="Q33" i="3"/>
  <c r="Q14" i="3"/>
  <c r="Q15" i="3"/>
</calcChain>
</file>

<file path=xl/sharedStrings.xml><?xml version="1.0" encoding="utf-8"?>
<sst xmlns="http://schemas.openxmlformats.org/spreadsheetml/2006/main" count="335" uniqueCount="21">
  <si>
    <t xml:space="preserve"> </t>
  </si>
  <si>
    <t>январь</t>
  </si>
  <si>
    <t>февраль</t>
  </si>
  <si>
    <t>март отправлено</t>
  </si>
  <si>
    <t>апрель</t>
  </si>
  <si>
    <t>апрель отправлено</t>
  </si>
  <si>
    <t>май</t>
  </si>
  <si>
    <t>июнь</t>
  </si>
  <si>
    <t>июль</t>
  </si>
  <si>
    <t>август</t>
  </si>
  <si>
    <t>сентябрь</t>
  </si>
  <si>
    <t>октябрь</t>
  </si>
  <si>
    <t>декабрь</t>
  </si>
  <si>
    <t>ГВС</t>
  </si>
  <si>
    <t>Отоплен</t>
  </si>
  <si>
    <t>ХВС</t>
  </si>
  <si>
    <t>ЭлД</t>
  </si>
  <si>
    <t>ЭлН</t>
  </si>
  <si>
    <t>март</t>
  </si>
  <si>
    <t>ноябрь</t>
  </si>
  <si>
    <t>0.131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</si>
</sst>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6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rgb="FFFF0000"/>
      <name val="Arial"/>
    </font>
    <font>
      <sz val="10"/>
      <color rgb="FFFF0000"/>
      <name val="Calibri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0" fontId="4" fillId="0" borderId="0" xfId="0" applyFont="1"/>
    <xf numFmtId="165" fontId="1" fillId="0" borderId="0" xfId="0" applyNumberFormat="1" applyFont="1"/>
    <xf numFmtId="164" fontId="3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3" fillId="3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1"/>
  <sheetViews>
    <sheetView workbookViewId="0">
      <pane ySplit="510" topLeftCell="A19" activePane="bottomLeft"/>
      <selection activeCell="S1" sqref="S1"/>
      <selection pane="bottomLeft" activeCell="D52" sqref="D52"/>
    </sheetView>
  </sheetViews>
  <sheetFormatPr defaultColWidth="14.42578125" defaultRowHeight="15" customHeight="1" x14ac:dyDescent="0.2"/>
  <cols>
    <col min="1" max="1" width="11" customWidth="1"/>
    <col min="2" max="2" width="5.5703125" customWidth="1"/>
    <col min="3" max="3" width="8.42578125" customWidth="1"/>
    <col min="4" max="4" width="8.7109375" customWidth="1"/>
    <col min="5" max="5" width="1.5703125" customWidth="1"/>
    <col min="6" max="6" width="10.7109375" customWidth="1"/>
    <col min="7" max="7" width="1.42578125" customWidth="1"/>
    <col min="8" max="8" width="10.85546875" customWidth="1"/>
    <col min="9" max="9" width="2.42578125" customWidth="1"/>
    <col min="10" max="10" width="9.85546875" customWidth="1"/>
    <col min="11" max="11" width="1.28515625" customWidth="1"/>
    <col min="12" max="12" width="10.85546875" customWidth="1"/>
    <col min="13" max="13" width="1.85546875" customWidth="1"/>
    <col min="14" max="14" width="10.28515625" customWidth="1"/>
    <col min="15" max="15" width="1.85546875" customWidth="1"/>
    <col min="16" max="16" width="9.7109375" customWidth="1"/>
    <col min="17" max="17" width="1.28515625" customWidth="1"/>
    <col min="18" max="18" width="10.5703125" customWidth="1"/>
    <col min="19" max="19" width="1.140625" customWidth="1"/>
    <col min="20" max="20" width="12.28515625" customWidth="1"/>
    <col min="21" max="21" width="0.7109375" customWidth="1"/>
    <col min="22" max="22" width="11" customWidth="1"/>
    <col min="23" max="23" width="1.140625" customWidth="1"/>
    <col min="24" max="24" width="10.28515625" customWidth="1"/>
    <col min="25" max="25" width="1" customWidth="1"/>
    <col min="26" max="26" width="8.7109375" customWidth="1"/>
    <col min="27" max="27" width="1.28515625" customWidth="1"/>
    <col min="28" max="34" width="8.7109375" customWidth="1"/>
  </cols>
  <sheetData>
    <row r="1" spans="1:49" ht="12.75" customHeight="1" x14ac:dyDescent="0.2">
      <c r="D1" s="1" t="s">
        <v>1</v>
      </c>
      <c r="E1" s="1"/>
      <c r="F1" s="1" t="s">
        <v>2</v>
      </c>
      <c r="G1" s="5"/>
      <c r="H1" s="1" t="s">
        <v>18</v>
      </c>
      <c r="I1" s="5" t="s">
        <v>3</v>
      </c>
      <c r="J1" s="1" t="s">
        <v>4</v>
      </c>
      <c r="K1" s="5" t="s">
        <v>5</v>
      </c>
      <c r="L1" s="1" t="s">
        <v>6</v>
      </c>
      <c r="M1" s="5"/>
      <c r="N1" s="1" t="s">
        <v>7</v>
      </c>
      <c r="O1" s="5"/>
      <c r="P1" s="1" t="s">
        <v>8</v>
      </c>
      <c r="Q1" s="5"/>
      <c r="R1" s="1" t="s">
        <v>9</v>
      </c>
      <c r="S1" s="1"/>
      <c r="T1" s="1" t="s">
        <v>10</v>
      </c>
      <c r="U1" s="6"/>
      <c r="V1" s="1" t="s">
        <v>11</v>
      </c>
      <c r="W1" s="6"/>
      <c r="X1" s="1" t="s">
        <v>19</v>
      </c>
      <c r="Z1" t="s">
        <v>12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5"/>
      <c r="AM1" s="1"/>
      <c r="AN1" s="5"/>
      <c r="AO1" s="1"/>
      <c r="AP1" s="5"/>
      <c r="AQ1" s="1"/>
      <c r="AR1" s="1"/>
      <c r="AS1" s="1"/>
      <c r="AT1" s="6"/>
      <c r="AU1" s="1"/>
      <c r="AV1" s="6"/>
      <c r="AW1" s="1"/>
    </row>
    <row r="2" spans="1:49" ht="12.75" customHeight="1" x14ac:dyDescent="0.2"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5"/>
      <c r="N2" s="1"/>
      <c r="O2" s="5"/>
      <c r="P2" s="1"/>
      <c r="Q2" s="5"/>
      <c r="R2" s="1"/>
      <c r="S2" s="1"/>
      <c r="T2" s="1"/>
      <c r="U2" s="6"/>
      <c r="V2" s="1"/>
      <c r="W2" s="6"/>
      <c r="X2" s="1"/>
    </row>
    <row r="3" spans="1:49" ht="12.75" customHeight="1" x14ac:dyDescent="0.2">
      <c r="A3" s="2">
        <v>2024</v>
      </c>
      <c r="B3" s="2"/>
      <c r="C3" s="1"/>
      <c r="D3" s="1" t="s">
        <v>1</v>
      </c>
      <c r="E3" s="1"/>
      <c r="F3" s="1" t="s">
        <v>2</v>
      </c>
      <c r="G3" s="5"/>
      <c r="H3" s="5"/>
      <c r="I3" s="5" t="s">
        <v>3</v>
      </c>
      <c r="J3" s="1" t="s">
        <v>4</v>
      </c>
      <c r="K3" s="5" t="s">
        <v>5</v>
      </c>
      <c r="L3" s="1" t="s">
        <v>6</v>
      </c>
      <c r="M3" s="5"/>
      <c r="N3" s="1" t="s">
        <v>7</v>
      </c>
      <c r="O3" s="5"/>
      <c r="P3" s="1" t="s">
        <v>8</v>
      </c>
      <c r="Q3" s="5"/>
      <c r="R3" s="1" t="s">
        <v>9</v>
      </c>
      <c r="S3" s="1"/>
      <c r="T3" s="1" t="s">
        <v>10</v>
      </c>
      <c r="U3" s="6"/>
      <c r="V3" s="1" t="s">
        <v>11</v>
      </c>
      <c r="W3" s="6"/>
      <c r="X3" s="1" t="s">
        <v>12</v>
      </c>
    </row>
    <row r="4" spans="1:49" ht="12.75" customHeight="1" x14ac:dyDescent="0.2">
      <c r="C4" s="1"/>
      <c r="D4" s="3"/>
      <c r="E4" s="3"/>
      <c r="F4" s="3"/>
      <c r="G4" s="6"/>
      <c r="H4" s="6"/>
      <c r="I4" s="6"/>
      <c r="J4" s="3"/>
      <c r="K4" s="6"/>
      <c r="L4" s="3"/>
      <c r="M4" s="6"/>
      <c r="N4" s="3"/>
      <c r="O4" s="6"/>
      <c r="P4" s="3"/>
      <c r="Q4" s="6"/>
      <c r="R4" s="3"/>
      <c r="S4" s="3"/>
      <c r="T4" s="3"/>
      <c r="U4" s="6"/>
      <c r="V4" s="3"/>
      <c r="W4" s="6"/>
      <c r="X4" s="3"/>
    </row>
    <row r="5" spans="1:49" ht="12.75" customHeight="1" x14ac:dyDescent="0.2">
      <c r="A5" s="2" t="s">
        <v>13</v>
      </c>
      <c r="B5" s="2"/>
      <c r="C5" s="1"/>
      <c r="D5" s="3"/>
      <c r="E5" s="3"/>
      <c r="F5" s="3"/>
      <c r="G5" s="6"/>
      <c r="H5" s="6"/>
      <c r="I5" s="6">
        <v>166</v>
      </c>
      <c r="J5" s="3">
        <v>183</v>
      </c>
      <c r="K5" s="6">
        <v>168</v>
      </c>
      <c r="L5" s="3">
        <v>186</v>
      </c>
      <c r="M5" s="6">
        <v>171</v>
      </c>
      <c r="N5" s="3"/>
      <c r="O5" s="6">
        <v>173</v>
      </c>
      <c r="P5" s="3">
        <v>190</v>
      </c>
      <c r="Q5" s="6">
        <v>176</v>
      </c>
      <c r="R5" s="3">
        <v>193</v>
      </c>
      <c r="S5" s="6">
        <v>180</v>
      </c>
      <c r="T5" s="3">
        <v>195</v>
      </c>
      <c r="U5" s="6">
        <v>183</v>
      </c>
      <c r="V5" s="3">
        <v>199</v>
      </c>
      <c r="W5" s="6">
        <v>189</v>
      </c>
      <c r="X5" s="3">
        <v>202</v>
      </c>
      <c r="Y5" s="2">
        <v>195</v>
      </c>
      <c r="Z5" s="2">
        <v>205</v>
      </c>
      <c r="AA5" s="7">
        <v>199</v>
      </c>
    </row>
    <row r="6" spans="1:49" ht="12.75" customHeight="1" x14ac:dyDescent="0.2">
      <c r="A6" s="2" t="s">
        <v>14</v>
      </c>
      <c r="B6" s="2"/>
      <c r="C6" s="1"/>
      <c r="D6" s="3"/>
      <c r="E6" s="3"/>
      <c r="F6" s="3"/>
      <c r="G6" s="6"/>
      <c r="H6" s="6"/>
      <c r="I6" s="6"/>
      <c r="J6" s="3"/>
      <c r="K6" s="6"/>
      <c r="L6" s="3"/>
      <c r="M6" s="6"/>
      <c r="N6" s="3"/>
      <c r="O6" s="6"/>
      <c r="P6" s="3"/>
      <c r="Q6" s="6"/>
      <c r="R6" s="3"/>
      <c r="S6" s="6"/>
      <c r="T6" s="3"/>
      <c r="U6" s="6"/>
      <c r="V6" s="3"/>
      <c r="W6" s="6"/>
      <c r="X6" s="3"/>
      <c r="AA6" s="7"/>
    </row>
    <row r="7" spans="1:49" ht="12.75" customHeight="1" x14ac:dyDescent="0.2">
      <c r="A7" s="2" t="s">
        <v>15</v>
      </c>
      <c r="B7" s="2"/>
      <c r="C7" s="1"/>
      <c r="D7" s="3"/>
      <c r="E7" s="3"/>
      <c r="F7" s="3"/>
      <c r="G7" s="6"/>
      <c r="H7" s="6"/>
      <c r="I7" s="6">
        <v>205</v>
      </c>
      <c r="J7" s="3">
        <v>250</v>
      </c>
      <c r="K7" s="6">
        <v>208</v>
      </c>
      <c r="L7" s="3">
        <v>255</v>
      </c>
      <c r="M7" s="6">
        <v>212</v>
      </c>
      <c r="N7" s="3"/>
      <c r="O7" s="6">
        <v>215</v>
      </c>
      <c r="P7" s="3">
        <v>268</v>
      </c>
      <c r="Q7" s="6">
        <v>218</v>
      </c>
      <c r="R7" s="3">
        <v>274</v>
      </c>
      <c r="S7" s="6">
        <v>225</v>
      </c>
      <c r="T7" s="3">
        <v>280</v>
      </c>
      <c r="U7" s="6">
        <v>231</v>
      </c>
      <c r="V7" s="3">
        <v>287</v>
      </c>
      <c r="W7" s="6">
        <v>238</v>
      </c>
      <c r="X7" s="3">
        <v>296</v>
      </c>
      <c r="Y7" s="2">
        <v>245</v>
      </c>
      <c r="Z7" s="2">
        <v>302</v>
      </c>
      <c r="AA7" s="7">
        <v>252</v>
      </c>
    </row>
    <row r="8" spans="1:49" ht="12.75" customHeight="1" x14ac:dyDescent="0.2">
      <c r="A8" s="2" t="s">
        <v>16</v>
      </c>
      <c r="B8" s="2"/>
      <c r="C8" s="1"/>
      <c r="D8" s="3"/>
      <c r="E8" s="3"/>
      <c r="F8" s="3"/>
      <c r="G8" s="6"/>
      <c r="H8" s="6"/>
      <c r="I8" s="6"/>
      <c r="J8" s="3">
        <v>7010.97</v>
      </c>
      <c r="K8" s="6">
        <v>7010.97</v>
      </c>
      <c r="L8" s="3">
        <v>7180.78</v>
      </c>
      <c r="M8" s="3">
        <v>7180.78</v>
      </c>
      <c r="N8" s="3"/>
      <c r="O8" s="3">
        <v>7310.78</v>
      </c>
      <c r="P8" s="3">
        <v>7512</v>
      </c>
      <c r="Q8" s="6">
        <f t="shared" ref="Q8:Q9" si="0">P8</f>
        <v>7512</v>
      </c>
      <c r="R8" s="3">
        <v>7685.7</v>
      </c>
      <c r="S8" s="6">
        <v>7685.7</v>
      </c>
      <c r="T8" s="3">
        <v>7854</v>
      </c>
      <c r="U8" s="3">
        <v>7854</v>
      </c>
      <c r="V8" s="3">
        <v>7999</v>
      </c>
      <c r="W8" s="3">
        <v>7999</v>
      </c>
      <c r="X8" s="3">
        <v>8129</v>
      </c>
      <c r="Y8" s="3">
        <v>8129</v>
      </c>
      <c r="Z8" s="2">
        <v>8243</v>
      </c>
      <c r="AA8" s="7">
        <v>8243</v>
      </c>
    </row>
    <row r="9" spans="1:49" ht="12.75" customHeight="1" x14ac:dyDescent="0.2">
      <c r="A9" s="2" t="s">
        <v>17</v>
      </c>
      <c r="B9" s="2"/>
      <c r="C9" s="1"/>
      <c r="D9" s="3"/>
      <c r="E9" s="3"/>
      <c r="F9" s="3"/>
      <c r="G9" s="6"/>
      <c r="H9" s="6"/>
      <c r="I9" s="6"/>
      <c r="J9" s="3">
        <v>2824</v>
      </c>
      <c r="K9" s="6">
        <v>2824</v>
      </c>
      <c r="L9" s="3">
        <v>2891.38</v>
      </c>
      <c r="M9" s="3">
        <v>2891.38</v>
      </c>
      <c r="N9" s="3"/>
      <c r="O9" s="3">
        <v>2941.38</v>
      </c>
      <c r="P9" s="3">
        <v>3027</v>
      </c>
      <c r="Q9" s="6">
        <f t="shared" si="0"/>
        <v>3027</v>
      </c>
      <c r="R9" s="3">
        <v>3099.6</v>
      </c>
      <c r="S9" s="6">
        <v>3099.6</v>
      </c>
      <c r="T9" s="3">
        <v>3163</v>
      </c>
      <c r="U9" s="3">
        <v>3163</v>
      </c>
      <c r="V9" s="3">
        <v>3219</v>
      </c>
      <c r="W9" s="3">
        <v>3219</v>
      </c>
      <c r="X9" s="3">
        <v>3275</v>
      </c>
      <c r="Y9" s="3">
        <v>3275</v>
      </c>
      <c r="Z9" s="2">
        <v>3327</v>
      </c>
      <c r="AA9" s="7">
        <v>3327</v>
      </c>
    </row>
    <row r="10" spans="1:49" ht="12.75" customHeight="1" x14ac:dyDescent="0.2">
      <c r="C10" s="1"/>
      <c r="D10" s="3"/>
      <c r="E10" s="3"/>
      <c r="F10" s="3"/>
      <c r="G10" s="3"/>
      <c r="H10" s="3"/>
      <c r="I10" s="3"/>
      <c r="J10" s="3"/>
      <c r="K10" s="6"/>
      <c r="L10" s="3">
        <f>L4-J4</f>
        <v>0</v>
      </c>
      <c r="M10" s="6"/>
      <c r="N10" s="3"/>
      <c r="O10" s="6"/>
      <c r="P10" s="3"/>
      <c r="Q10" s="6"/>
      <c r="R10" s="3"/>
      <c r="S10" s="3"/>
      <c r="T10" s="3"/>
      <c r="U10" s="3"/>
      <c r="V10" s="3"/>
      <c r="W10" s="3"/>
      <c r="X10" s="3"/>
    </row>
    <row r="11" spans="1:49" ht="12.75" customHeight="1" x14ac:dyDescent="0.2">
      <c r="A11" s="2" t="s">
        <v>13</v>
      </c>
      <c r="B11" s="2"/>
      <c r="C11" s="1"/>
      <c r="D11" s="3"/>
      <c r="E11" s="3"/>
      <c r="F11" s="3"/>
      <c r="G11" s="3"/>
      <c r="H11" s="3"/>
      <c r="I11" s="3"/>
      <c r="J11" s="3"/>
      <c r="K11" s="3"/>
      <c r="L11" s="3">
        <f t="shared" ref="L11:L14" si="1">L5-J5</f>
        <v>3</v>
      </c>
      <c r="M11" s="6">
        <f t="shared" ref="M11:M16" si="2">M5-K5</f>
        <v>3</v>
      </c>
      <c r="N11" s="3"/>
      <c r="O11" s="6">
        <f t="shared" ref="O11:O16" si="3">O5-M5</f>
        <v>2</v>
      </c>
      <c r="P11" s="3"/>
      <c r="Q11" s="6">
        <f t="shared" ref="Q11:Q16" si="4">Q5-O5</f>
        <v>3</v>
      </c>
      <c r="R11" s="3"/>
      <c r="S11" s="6">
        <f t="shared" ref="S11:AA11" si="5">S5-Q5</f>
        <v>4</v>
      </c>
      <c r="T11" s="6">
        <f t="shared" si="5"/>
        <v>2</v>
      </c>
      <c r="U11" s="6">
        <f t="shared" si="5"/>
        <v>3</v>
      </c>
      <c r="V11" s="6">
        <f t="shared" si="5"/>
        <v>4</v>
      </c>
      <c r="W11" s="6">
        <f t="shared" si="5"/>
        <v>6</v>
      </c>
      <c r="X11" s="6">
        <f t="shared" si="5"/>
        <v>3</v>
      </c>
      <c r="Y11" s="6">
        <f t="shared" si="5"/>
        <v>6</v>
      </c>
      <c r="Z11" s="6">
        <f t="shared" si="5"/>
        <v>3</v>
      </c>
      <c r="AA11" s="6">
        <f t="shared" si="5"/>
        <v>4</v>
      </c>
    </row>
    <row r="12" spans="1:49" ht="12.75" customHeight="1" x14ac:dyDescent="0.2">
      <c r="A12" s="2" t="s">
        <v>14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3">
        <f t="shared" si="1"/>
        <v>0</v>
      </c>
      <c r="M12" s="6">
        <f t="shared" si="2"/>
        <v>0</v>
      </c>
      <c r="N12" s="1"/>
      <c r="O12" s="6">
        <f t="shared" si="3"/>
        <v>0</v>
      </c>
      <c r="P12" s="1"/>
      <c r="Q12" s="6">
        <f t="shared" si="4"/>
        <v>0</v>
      </c>
      <c r="R12" s="1"/>
      <c r="S12" s="6">
        <f t="shared" ref="S12:AA12" si="6">S6-Q6</f>
        <v>0</v>
      </c>
      <c r="T12" s="6">
        <f t="shared" si="6"/>
        <v>0</v>
      </c>
      <c r="U12" s="6">
        <f t="shared" si="6"/>
        <v>0</v>
      </c>
      <c r="V12" s="6">
        <f t="shared" si="6"/>
        <v>0</v>
      </c>
      <c r="W12" s="6">
        <f t="shared" si="6"/>
        <v>0</v>
      </c>
      <c r="X12" s="6">
        <f t="shared" si="6"/>
        <v>0</v>
      </c>
      <c r="Y12" s="6">
        <f t="shared" si="6"/>
        <v>0</v>
      </c>
      <c r="Z12" s="6">
        <f t="shared" si="6"/>
        <v>0</v>
      </c>
      <c r="AA12" s="6">
        <f t="shared" si="6"/>
        <v>0</v>
      </c>
    </row>
    <row r="13" spans="1:49" ht="12.75" customHeight="1" x14ac:dyDescent="0.2">
      <c r="A13" s="2" t="s">
        <v>15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3">
        <f t="shared" si="1"/>
        <v>5</v>
      </c>
      <c r="M13" s="6">
        <f t="shared" si="2"/>
        <v>4</v>
      </c>
      <c r="N13" s="1"/>
      <c r="O13" s="6">
        <f t="shared" si="3"/>
        <v>3</v>
      </c>
      <c r="P13" s="1"/>
      <c r="Q13" s="6">
        <f t="shared" si="4"/>
        <v>3</v>
      </c>
      <c r="R13" s="1"/>
      <c r="S13" s="6">
        <f t="shared" ref="S13:AA13" si="7">S7-Q7</f>
        <v>7</v>
      </c>
      <c r="T13" s="6">
        <f t="shared" si="7"/>
        <v>6</v>
      </c>
      <c r="U13" s="6">
        <f t="shared" si="7"/>
        <v>6</v>
      </c>
      <c r="V13" s="6">
        <f t="shared" si="7"/>
        <v>7</v>
      </c>
      <c r="W13" s="6">
        <f t="shared" si="7"/>
        <v>7</v>
      </c>
      <c r="X13" s="6">
        <f t="shared" si="7"/>
        <v>9</v>
      </c>
      <c r="Y13" s="6">
        <f t="shared" si="7"/>
        <v>7</v>
      </c>
      <c r="Z13" s="6">
        <f t="shared" si="7"/>
        <v>6</v>
      </c>
      <c r="AA13" s="6">
        <f t="shared" si="7"/>
        <v>7</v>
      </c>
    </row>
    <row r="14" spans="1:49" ht="12.75" customHeight="1" x14ac:dyDescent="0.2">
      <c r="A14" s="2" t="s">
        <v>16</v>
      </c>
      <c r="B14" s="2"/>
      <c r="L14" s="3">
        <f t="shared" si="1"/>
        <v>169.80999999999949</v>
      </c>
      <c r="M14" s="6">
        <f t="shared" si="2"/>
        <v>169.80999999999949</v>
      </c>
      <c r="O14" s="6">
        <f t="shared" si="3"/>
        <v>130</v>
      </c>
      <c r="Q14" s="6">
        <f t="shared" si="4"/>
        <v>201.22000000000025</v>
      </c>
      <c r="S14" s="6">
        <f t="shared" ref="S14:AA14" si="8">S8-Q8</f>
        <v>173.69999999999982</v>
      </c>
      <c r="T14" s="6">
        <f t="shared" si="8"/>
        <v>168.30000000000018</v>
      </c>
      <c r="U14" s="6">
        <f t="shared" si="8"/>
        <v>168.30000000000018</v>
      </c>
      <c r="V14" s="6">
        <f t="shared" si="8"/>
        <v>145</v>
      </c>
      <c r="W14" s="6">
        <f t="shared" si="8"/>
        <v>145</v>
      </c>
      <c r="X14" s="6">
        <f t="shared" si="8"/>
        <v>130</v>
      </c>
      <c r="Y14" s="6">
        <f t="shared" si="8"/>
        <v>130</v>
      </c>
      <c r="Z14" s="6">
        <f t="shared" si="8"/>
        <v>114</v>
      </c>
      <c r="AA14" s="6">
        <f t="shared" si="8"/>
        <v>114</v>
      </c>
    </row>
    <row r="15" spans="1:49" ht="12.75" customHeight="1" x14ac:dyDescent="0.2">
      <c r="A15" s="2" t="s">
        <v>17</v>
      </c>
      <c r="B15" s="2"/>
      <c r="M15" s="6">
        <f t="shared" si="2"/>
        <v>67.380000000000109</v>
      </c>
      <c r="O15" s="6">
        <f t="shared" si="3"/>
        <v>50</v>
      </c>
      <c r="Q15" s="6">
        <f t="shared" si="4"/>
        <v>85.619999999999891</v>
      </c>
      <c r="S15" s="6">
        <f t="shared" ref="S15:AA15" si="9">S9-Q9</f>
        <v>72.599999999999909</v>
      </c>
      <c r="T15" s="6">
        <f t="shared" si="9"/>
        <v>63.400000000000091</v>
      </c>
      <c r="U15" s="6">
        <f t="shared" si="9"/>
        <v>63.400000000000091</v>
      </c>
      <c r="V15" s="6">
        <f t="shared" si="9"/>
        <v>56</v>
      </c>
      <c r="W15" s="6">
        <f t="shared" si="9"/>
        <v>56</v>
      </c>
      <c r="X15" s="6">
        <f t="shared" si="9"/>
        <v>56</v>
      </c>
      <c r="Y15" s="6">
        <f t="shared" si="9"/>
        <v>56</v>
      </c>
      <c r="Z15" s="6">
        <f t="shared" si="9"/>
        <v>52</v>
      </c>
      <c r="AA15" s="6">
        <f t="shared" si="9"/>
        <v>52</v>
      </c>
    </row>
    <row r="16" spans="1:49" ht="12.75" customHeight="1" x14ac:dyDescent="0.2">
      <c r="M16" s="6">
        <f t="shared" si="2"/>
        <v>0</v>
      </c>
      <c r="O16" s="6">
        <f t="shared" si="3"/>
        <v>0</v>
      </c>
      <c r="Q16" s="6">
        <f t="shared" si="4"/>
        <v>0</v>
      </c>
      <c r="S16" s="6">
        <f t="shared" ref="S16:AA16" si="10">S10-Q10</f>
        <v>0</v>
      </c>
      <c r="T16" s="6">
        <f t="shared" si="10"/>
        <v>0</v>
      </c>
      <c r="U16" s="6">
        <f t="shared" si="10"/>
        <v>0</v>
      </c>
      <c r="V16" s="6">
        <f t="shared" si="10"/>
        <v>0</v>
      </c>
      <c r="W16" s="6">
        <f t="shared" si="10"/>
        <v>0</v>
      </c>
      <c r="X16" s="6">
        <f t="shared" si="10"/>
        <v>0</v>
      </c>
      <c r="Y16" s="6">
        <f t="shared" si="10"/>
        <v>0</v>
      </c>
      <c r="Z16" s="6">
        <f t="shared" si="10"/>
        <v>0</v>
      </c>
      <c r="AA16" s="6">
        <f t="shared" si="10"/>
        <v>0</v>
      </c>
    </row>
    <row r="17" spans="1:27" ht="12.75" customHeight="1" x14ac:dyDescent="0.2">
      <c r="M17" s="7"/>
      <c r="Q17" s="7"/>
      <c r="U17" s="6"/>
    </row>
    <row r="18" spans="1:27" ht="12.75" customHeight="1" x14ac:dyDescent="0.2">
      <c r="M18" s="7"/>
      <c r="Q18" s="7"/>
      <c r="U18" s="6"/>
    </row>
    <row r="19" spans="1:27" ht="12.75" customHeight="1" x14ac:dyDescent="0.2">
      <c r="M19" s="7"/>
      <c r="Q19" s="7"/>
      <c r="U19" s="6"/>
    </row>
    <row r="20" spans="1:27" ht="12.75" customHeight="1" x14ac:dyDescent="0.2">
      <c r="M20" s="7"/>
      <c r="Q20" s="7"/>
      <c r="U20" s="6"/>
    </row>
    <row r="21" spans="1:27" ht="12.75" customHeight="1" x14ac:dyDescent="0.2">
      <c r="A21" s="2">
        <v>2025</v>
      </c>
      <c r="B21" s="2"/>
      <c r="M21" s="7"/>
      <c r="Q21" s="7"/>
      <c r="U21" s="6"/>
    </row>
    <row r="22" spans="1:27" ht="12.75" customHeight="1" x14ac:dyDescent="0.2">
      <c r="D22" s="1" t="s">
        <v>1</v>
      </c>
      <c r="E22" s="1"/>
      <c r="F22" s="1" t="s">
        <v>2</v>
      </c>
      <c r="G22" s="5"/>
      <c r="H22" s="1" t="s">
        <v>18</v>
      </c>
      <c r="I22" s="5" t="s">
        <v>3</v>
      </c>
      <c r="J22" s="1" t="s">
        <v>4</v>
      </c>
      <c r="K22" s="5" t="s">
        <v>5</v>
      </c>
      <c r="L22" s="1" t="s">
        <v>6</v>
      </c>
      <c r="M22" s="5"/>
      <c r="N22" s="1" t="s">
        <v>7</v>
      </c>
      <c r="O22" s="5"/>
      <c r="P22" s="1" t="s">
        <v>8</v>
      </c>
      <c r="Q22" s="5"/>
      <c r="R22" s="1" t="s">
        <v>9</v>
      </c>
      <c r="S22" s="1"/>
      <c r="T22" s="1" t="s">
        <v>10</v>
      </c>
      <c r="U22" s="6"/>
      <c r="V22" s="1" t="s">
        <v>11</v>
      </c>
      <c r="W22" s="6"/>
      <c r="X22" s="1" t="s">
        <v>19</v>
      </c>
      <c r="Z22" t="s">
        <v>12</v>
      </c>
    </row>
    <row r="23" spans="1:27" ht="12.75" customHeight="1" x14ac:dyDescent="0.2">
      <c r="D23" s="3"/>
      <c r="E23" s="3"/>
      <c r="F23" s="3"/>
      <c r="G23" s="6"/>
      <c r="H23" s="3"/>
      <c r="I23" s="6"/>
      <c r="J23" s="3"/>
      <c r="K23" s="6"/>
      <c r="L23" s="3"/>
      <c r="M23" s="6"/>
      <c r="N23" s="3"/>
      <c r="O23" s="6"/>
      <c r="P23" s="3"/>
      <c r="Q23" s="6"/>
      <c r="R23" s="3"/>
      <c r="S23" s="3"/>
      <c r="T23" s="3"/>
      <c r="U23" s="6"/>
      <c r="V23" s="3"/>
      <c r="W23" s="6"/>
      <c r="X23" s="3"/>
    </row>
    <row r="24" spans="1:27" ht="12.75" customHeight="1" x14ac:dyDescent="0.2">
      <c r="A24" s="2" t="s">
        <v>13</v>
      </c>
      <c r="B24" s="2"/>
      <c r="D24" s="7">
        <v>199</v>
      </c>
      <c r="E24" s="7">
        <v>203</v>
      </c>
      <c r="F24" s="3">
        <v>212</v>
      </c>
      <c r="G24" s="6">
        <v>208</v>
      </c>
      <c r="H24" s="3">
        <v>215</v>
      </c>
      <c r="I24" s="6">
        <v>212</v>
      </c>
      <c r="J24" s="3">
        <v>219</v>
      </c>
      <c r="K24" s="9">
        <v>217</v>
      </c>
      <c r="L24" s="3">
        <v>221</v>
      </c>
      <c r="M24" s="6">
        <v>223</v>
      </c>
      <c r="N24" s="3">
        <v>224</v>
      </c>
      <c r="O24" s="9">
        <v>224</v>
      </c>
      <c r="P24" s="3">
        <v>227</v>
      </c>
      <c r="Q24" s="6">
        <v>227</v>
      </c>
      <c r="R24" s="3">
        <v>229</v>
      </c>
      <c r="S24" s="11">
        <v>229</v>
      </c>
      <c r="T24" s="3">
        <v>233</v>
      </c>
      <c r="U24" s="13">
        <v>233</v>
      </c>
      <c r="V24" s="3">
        <v>239</v>
      </c>
      <c r="W24" s="6">
        <v>239</v>
      </c>
      <c r="X24" s="3">
        <v>243</v>
      </c>
      <c r="Y24" s="2"/>
      <c r="Z24" s="2">
        <v>247</v>
      </c>
      <c r="AA24" s="7"/>
    </row>
    <row r="25" spans="1:27" ht="12.75" customHeight="1" x14ac:dyDescent="0.2">
      <c r="A25" s="2" t="s">
        <v>14</v>
      </c>
      <c r="B25" s="2"/>
      <c r="D25" s="7"/>
      <c r="E25" s="7"/>
      <c r="F25" s="3"/>
      <c r="G25" s="6"/>
      <c r="H25" s="3"/>
      <c r="I25" s="6"/>
      <c r="J25" s="3"/>
      <c r="K25" s="9"/>
      <c r="L25" s="3"/>
      <c r="M25" s="6"/>
      <c r="N25" s="3"/>
      <c r="O25" s="9"/>
      <c r="P25" s="3"/>
      <c r="Q25" s="6"/>
      <c r="R25" s="3"/>
      <c r="S25" s="11"/>
      <c r="T25" s="3"/>
      <c r="U25" s="13"/>
      <c r="V25" s="3"/>
      <c r="W25" s="6"/>
      <c r="X25" s="3"/>
      <c r="AA25" s="7"/>
    </row>
    <row r="26" spans="1:27" ht="12.75" customHeight="1" x14ac:dyDescent="0.2">
      <c r="A26" s="2" t="s">
        <v>15</v>
      </c>
      <c r="B26" s="2"/>
      <c r="D26" s="7">
        <v>252</v>
      </c>
      <c r="E26" s="7">
        <v>258</v>
      </c>
      <c r="F26" s="3">
        <v>314</v>
      </c>
      <c r="G26" s="6">
        <v>266</v>
      </c>
      <c r="H26" s="3">
        <v>319</v>
      </c>
      <c r="I26" s="6">
        <v>272</v>
      </c>
      <c r="J26" s="3">
        <v>327</v>
      </c>
      <c r="K26" s="9">
        <v>286</v>
      </c>
      <c r="L26" s="3">
        <v>329</v>
      </c>
      <c r="M26" s="6">
        <v>295</v>
      </c>
      <c r="N26" s="3">
        <v>334</v>
      </c>
      <c r="O26" s="9">
        <v>306</v>
      </c>
      <c r="P26" s="3">
        <v>339</v>
      </c>
      <c r="Q26" s="6">
        <v>319</v>
      </c>
      <c r="R26" s="3">
        <v>344</v>
      </c>
      <c r="S26" s="11">
        <v>334</v>
      </c>
      <c r="T26" s="3">
        <v>351</v>
      </c>
      <c r="U26" s="13">
        <v>346</v>
      </c>
      <c r="V26" s="3">
        <v>357</v>
      </c>
      <c r="W26" s="6">
        <v>357</v>
      </c>
      <c r="X26" s="3">
        <v>362</v>
      </c>
      <c r="Y26" s="2"/>
      <c r="Z26" s="2">
        <v>366</v>
      </c>
      <c r="AA26" s="7"/>
    </row>
    <row r="27" spans="1:27" ht="12.75" customHeight="1" x14ac:dyDescent="0.2">
      <c r="A27" s="2" t="s">
        <v>16</v>
      </c>
      <c r="B27" s="2"/>
      <c r="D27" s="7">
        <v>8243</v>
      </c>
      <c r="E27" s="7">
        <v>8364</v>
      </c>
      <c r="F27" s="3">
        <v>8508</v>
      </c>
      <c r="G27" s="3">
        <v>8508</v>
      </c>
      <c r="H27" s="3">
        <v>8617</v>
      </c>
      <c r="I27" s="6">
        <v>8617</v>
      </c>
      <c r="J27" s="3">
        <v>8757</v>
      </c>
      <c r="K27" s="10">
        <v>8757</v>
      </c>
      <c r="L27" s="3">
        <v>8864</v>
      </c>
      <c r="M27" s="3">
        <v>8864</v>
      </c>
      <c r="N27" s="3">
        <v>8983</v>
      </c>
      <c r="O27" s="10">
        <v>8983</v>
      </c>
      <c r="P27" s="3">
        <v>8983</v>
      </c>
      <c r="Q27" s="6"/>
      <c r="R27" s="3">
        <v>9213</v>
      </c>
      <c r="S27" s="11">
        <v>9213</v>
      </c>
      <c r="T27" s="3">
        <v>9342</v>
      </c>
      <c r="U27" s="11">
        <v>9342</v>
      </c>
      <c r="V27" s="3">
        <v>9460</v>
      </c>
      <c r="W27" s="3">
        <v>9460</v>
      </c>
      <c r="X27" s="3">
        <v>9591</v>
      </c>
      <c r="Y27" s="3"/>
      <c r="Z27" s="2">
        <v>9695</v>
      </c>
      <c r="AA27" s="7"/>
    </row>
    <row r="28" spans="1:27" ht="12.75" customHeight="1" x14ac:dyDescent="0.2">
      <c r="A28" s="2" t="s">
        <v>17</v>
      </c>
      <c r="B28" s="2"/>
      <c r="D28" s="7">
        <v>3327</v>
      </c>
      <c r="E28" s="7">
        <v>3380</v>
      </c>
      <c r="F28" s="3">
        <v>3446</v>
      </c>
      <c r="G28" s="3">
        <v>3446</v>
      </c>
      <c r="H28" s="3">
        <v>3492</v>
      </c>
      <c r="I28" s="6">
        <v>3492</v>
      </c>
      <c r="J28" s="3">
        <v>3549</v>
      </c>
      <c r="K28" s="10">
        <v>3549</v>
      </c>
      <c r="L28" s="3">
        <v>3596</v>
      </c>
      <c r="M28" s="3">
        <v>3596</v>
      </c>
      <c r="N28" s="3">
        <v>3641</v>
      </c>
      <c r="O28" s="10">
        <v>3641</v>
      </c>
      <c r="P28" s="3">
        <v>3641</v>
      </c>
      <c r="Q28" s="6"/>
      <c r="R28" s="3">
        <v>3744</v>
      </c>
      <c r="S28" s="11">
        <v>3744</v>
      </c>
      <c r="T28" s="3">
        <v>3797</v>
      </c>
      <c r="U28" s="11">
        <v>3797</v>
      </c>
      <c r="V28" s="3">
        <v>3843</v>
      </c>
      <c r="W28" s="3">
        <v>3843</v>
      </c>
      <c r="X28" s="14">
        <v>3896</v>
      </c>
      <c r="Y28" s="3"/>
      <c r="Z28" s="2">
        <v>3935</v>
      </c>
      <c r="AA28" s="7"/>
    </row>
    <row r="29" spans="1:27" ht="12.75" customHeight="1" x14ac:dyDescent="0.2">
      <c r="D29" s="6" t="e">
        <f>C23-#REF!</f>
        <v>#REF!</v>
      </c>
      <c r="E29" s="3"/>
      <c r="F29" s="3"/>
      <c r="G29" s="6"/>
      <c r="H29" s="3"/>
      <c r="I29" s="3"/>
      <c r="J29" s="3"/>
      <c r="K29" s="6"/>
      <c r="L29" s="3"/>
      <c r="M29" s="6"/>
      <c r="N29" s="3"/>
      <c r="O29" s="6"/>
      <c r="P29" s="3"/>
      <c r="Q29" s="6"/>
      <c r="R29" s="3"/>
      <c r="S29" s="3"/>
      <c r="T29" s="3"/>
      <c r="U29" s="3"/>
      <c r="V29" s="3"/>
      <c r="W29" s="3"/>
      <c r="X29" s="3"/>
    </row>
    <row r="30" spans="1:27" ht="12.75" customHeight="1" x14ac:dyDescent="0.2">
      <c r="A30" s="2" t="s">
        <v>13</v>
      </c>
      <c r="B30" s="2"/>
      <c r="D30" s="6" t="e">
        <f t="shared" ref="D30:D33" si="11">D24-#REF!</f>
        <v>#REF!</v>
      </c>
      <c r="E30" s="3"/>
      <c r="F30" s="3">
        <f>F24-D24</f>
        <v>13</v>
      </c>
      <c r="G30" s="6">
        <f t="shared" ref="G30:G34" si="12">G24-E24</f>
        <v>5</v>
      </c>
      <c r="H30" s="3">
        <f>H24-F24</f>
        <v>3</v>
      </c>
      <c r="I30" s="6">
        <f t="shared" ref="I30:K34" si="13">I24-G24</f>
        <v>4</v>
      </c>
      <c r="J30" s="3">
        <f>J24-H24</f>
        <v>4</v>
      </c>
      <c r="K30" s="6">
        <f t="shared" si="13"/>
        <v>5</v>
      </c>
      <c r="L30" s="3">
        <f>L24-J24</f>
        <v>2</v>
      </c>
      <c r="M30" s="6">
        <f t="shared" ref="M30:M34" si="14">M24-K24</f>
        <v>6</v>
      </c>
      <c r="N30" s="3">
        <f>N24-L24</f>
        <v>3</v>
      </c>
      <c r="O30" s="6">
        <f t="shared" ref="O30:O34" si="15">O24-M24</f>
        <v>1</v>
      </c>
      <c r="P30" s="3">
        <f>P24-N24</f>
        <v>3</v>
      </c>
      <c r="Q30" s="6">
        <f t="shared" ref="Q30:Q34" si="16">Q24-O24</f>
        <v>3</v>
      </c>
      <c r="R30" s="3">
        <f>R24-P24</f>
        <v>2</v>
      </c>
      <c r="S30" s="6">
        <f t="shared" ref="S30:AA30" si="17">S24-Q24</f>
        <v>2</v>
      </c>
      <c r="T30" s="12">
        <f t="shared" si="17"/>
        <v>4</v>
      </c>
      <c r="U30" s="6">
        <f t="shared" si="17"/>
        <v>4</v>
      </c>
      <c r="V30" s="6">
        <f t="shared" si="17"/>
        <v>6</v>
      </c>
      <c r="W30" s="6">
        <f t="shared" si="17"/>
        <v>6</v>
      </c>
      <c r="X30" s="6">
        <f t="shared" si="17"/>
        <v>4</v>
      </c>
      <c r="Y30" s="6">
        <f t="shared" si="17"/>
        <v>-239</v>
      </c>
      <c r="Z30" s="6">
        <f t="shared" si="17"/>
        <v>4</v>
      </c>
      <c r="AA30" s="6">
        <f t="shared" si="17"/>
        <v>0</v>
      </c>
    </row>
    <row r="31" spans="1:27" ht="12.75" customHeight="1" x14ac:dyDescent="0.2">
      <c r="A31" s="2" t="s">
        <v>14</v>
      </c>
      <c r="B31" s="2"/>
      <c r="D31" s="6" t="e">
        <f t="shared" si="11"/>
        <v>#REF!</v>
      </c>
      <c r="E31" s="1"/>
      <c r="F31" s="3">
        <f t="shared" ref="F31:R34" si="18">F25-D25</f>
        <v>0</v>
      </c>
      <c r="G31" s="6">
        <f t="shared" si="12"/>
        <v>0</v>
      </c>
      <c r="H31" s="3">
        <f t="shared" si="18"/>
        <v>0</v>
      </c>
      <c r="I31" s="6">
        <f t="shared" si="13"/>
        <v>0</v>
      </c>
      <c r="J31" s="3">
        <f t="shared" si="18"/>
        <v>0</v>
      </c>
      <c r="K31" s="6">
        <f t="shared" si="13"/>
        <v>0</v>
      </c>
      <c r="L31" s="3">
        <f t="shared" si="18"/>
        <v>0</v>
      </c>
      <c r="M31" s="6">
        <f t="shared" si="14"/>
        <v>0</v>
      </c>
      <c r="N31" s="3">
        <f t="shared" si="18"/>
        <v>0</v>
      </c>
      <c r="O31" s="6">
        <f t="shared" si="15"/>
        <v>0</v>
      </c>
      <c r="P31" s="3">
        <f t="shared" si="18"/>
        <v>0</v>
      </c>
      <c r="Q31" s="6">
        <f t="shared" si="16"/>
        <v>0</v>
      </c>
      <c r="R31" s="3">
        <f t="shared" si="18"/>
        <v>0</v>
      </c>
      <c r="S31" s="6">
        <f t="shared" ref="S31:AA31" si="19">S25-Q25</f>
        <v>0</v>
      </c>
      <c r="T31" s="12">
        <f t="shared" si="19"/>
        <v>0</v>
      </c>
      <c r="U31" s="6">
        <f t="shared" si="19"/>
        <v>0</v>
      </c>
      <c r="V31" s="6">
        <f t="shared" si="19"/>
        <v>0</v>
      </c>
      <c r="W31" s="6">
        <f t="shared" si="19"/>
        <v>0</v>
      </c>
      <c r="X31" s="6">
        <f t="shared" si="19"/>
        <v>0</v>
      </c>
      <c r="Y31" s="6">
        <f t="shared" si="19"/>
        <v>0</v>
      </c>
      <c r="Z31" s="6">
        <f t="shared" si="19"/>
        <v>0</v>
      </c>
      <c r="AA31" s="6">
        <f t="shared" si="19"/>
        <v>0</v>
      </c>
    </row>
    <row r="32" spans="1:27" ht="12.75" customHeight="1" x14ac:dyDescent="0.2">
      <c r="A32" s="2" t="s">
        <v>15</v>
      </c>
      <c r="B32" s="2"/>
      <c r="D32" s="6" t="e">
        <f t="shared" si="11"/>
        <v>#REF!</v>
      </c>
      <c r="E32" s="1"/>
      <c r="F32" s="3">
        <f t="shared" si="18"/>
        <v>62</v>
      </c>
      <c r="G32" s="6">
        <f t="shared" si="12"/>
        <v>8</v>
      </c>
      <c r="H32" s="3">
        <f t="shared" si="18"/>
        <v>5</v>
      </c>
      <c r="I32" s="6">
        <f t="shared" si="13"/>
        <v>6</v>
      </c>
      <c r="J32" s="3">
        <f t="shared" si="18"/>
        <v>8</v>
      </c>
      <c r="K32" s="6">
        <f t="shared" si="13"/>
        <v>14</v>
      </c>
      <c r="L32" s="3">
        <f t="shared" si="18"/>
        <v>2</v>
      </c>
      <c r="M32" s="6">
        <f t="shared" si="14"/>
        <v>9</v>
      </c>
      <c r="N32" s="3">
        <f>N26-L26</f>
        <v>5</v>
      </c>
      <c r="O32" s="6">
        <f t="shared" si="15"/>
        <v>11</v>
      </c>
      <c r="P32" s="3">
        <f>P26-N26</f>
        <v>5</v>
      </c>
      <c r="Q32" s="6">
        <f t="shared" si="16"/>
        <v>13</v>
      </c>
      <c r="R32" s="3">
        <f>R26-P26</f>
        <v>5</v>
      </c>
      <c r="S32" s="6">
        <f t="shared" ref="S32:AA32" si="20">S26-Q26</f>
        <v>15</v>
      </c>
      <c r="T32" s="12">
        <f t="shared" si="20"/>
        <v>7</v>
      </c>
      <c r="U32" s="6">
        <f t="shared" si="20"/>
        <v>12</v>
      </c>
      <c r="V32" s="6">
        <f t="shared" si="20"/>
        <v>6</v>
      </c>
      <c r="W32" s="6">
        <f t="shared" si="20"/>
        <v>11</v>
      </c>
      <c r="X32" s="6">
        <f t="shared" si="20"/>
        <v>5</v>
      </c>
      <c r="Y32" s="6">
        <f t="shared" si="20"/>
        <v>-357</v>
      </c>
      <c r="Z32" s="6">
        <f t="shared" si="20"/>
        <v>4</v>
      </c>
      <c r="AA32" s="6">
        <f t="shared" si="20"/>
        <v>0</v>
      </c>
    </row>
    <row r="33" spans="1:27" ht="12.75" customHeight="1" x14ac:dyDescent="0.2">
      <c r="A33" s="2" t="s">
        <v>16</v>
      </c>
      <c r="B33" s="2"/>
      <c r="D33" s="6" t="e">
        <f t="shared" si="11"/>
        <v>#REF!</v>
      </c>
      <c r="F33" s="3">
        <f t="shared" si="18"/>
        <v>265</v>
      </c>
      <c r="G33" s="6">
        <f t="shared" si="12"/>
        <v>144</v>
      </c>
      <c r="H33" s="3">
        <f t="shared" si="18"/>
        <v>109</v>
      </c>
      <c r="I33" s="6">
        <f t="shared" si="13"/>
        <v>109</v>
      </c>
      <c r="J33" s="3">
        <f t="shared" si="18"/>
        <v>140</v>
      </c>
      <c r="K33" s="6">
        <f t="shared" si="13"/>
        <v>140</v>
      </c>
      <c r="L33" s="3">
        <f t="shared" si="18"/>
        <v>107</v>
      </c>
      <c r="M33" s="6">
        <f t="shared" si="14"/>
        <v>107</v>
      </c>
      <c r="N33" s="3">
        <f t="shared" si="18"/>
        <v>119</v>
      </c>
      <c r="O33" s="6">
        <f t="shared" si="15"/>
        <v>119</v>
      </c>
      <c r="P33" s="3">
        <f t="shared" si="18"/>
        <v>0</v>
      </c>
      <c r="Q33" s="6">
        <f t="shared" si="16"/>
        <v>-8983</v>
      </c>
      <c r="R33" s="3">
        <f t="shared" si="18"/>
        <v>230</v>
      </c>
      <c r="S33" s="6">
        <f t="shared" ref="S33:AA33" si="21">S27-Q27</f>
        <v>9213</v>
      </c>
      <c r="T33" s="12">
        <f t="shared" si="21"/>
        <v>129</v>
      </c>
      <c r="U33" s="6">
        <f t="shared" si="21"/>
        <v>129</v>
      </c>
      <c r="V33" s="6">
        <f t="shared" si="21"/>
        <v>118</v>
      </c>
      <c r="W33" s="6">
        <f t="shared" si="21"/>
        <v>118</v>
      </c>
      <c r="X33" s="6">
        <f t="shared" si="21"/>
        <v>131</v>
      </c>
      <c r="Y33" s="6">
        <f t="shared" si="21"/>
        <v>-9460</v>
      </c>
      <c r="Z33" s="6">
        <f t="shared" si="21"/>
        <v>104</v>
      </c>
      <c r="AA33" s="6">
        <f t="shared" si="21"/>
        <v>0</v>
      </c>
    </row>
    <row r="34" spans="1:27" ht="12.75" customHeight="1" x14ac:dyDescent="0.2">
      <c r="A34" s="2" t="s">
        <v>17</v>
      </c>
      <c r="B34" s="2"/>
      <c r="F34" s="3">
        <f t="shared" si="18"/>
        <v>119</v>
      </c>
      <c r="G34" s="6">
        <f t="shared" si="12"/>
        <v>66</v>
      </c>
      <c r="H34" s="3">
        <f t="shared" si="18"/>
        <v>46</v>
      </c>
      <c r="I34" s="6">
        <f t="shared" si="13"/>
        <v>46</v>
      </c>
      <c r="J34" s="3">
        <f t="shared" si="18"/>
        <v>57</v>
      </c>
      <c r="K34" s="6">
        <f t="shared" si="13"/>
        <v>57</v>
      </c>
      <c r="L34" s="3">
        <f t="shared" si="18"/>
        <v>47</v>
      </c>
      <c r="M34" s="6">
        <f t="shared" si="14"/>
        <v>47</v>
      </c>
      <c r="N34" s="3">
        <f t="shared" si="18"/>
        <v>45</v>
      </c>
      <c r="O34" s="6">
        <f t="shared" si="15"/>
        <v>45</v>
      </c>
      <c r="P34" s="3">
        <f t="shared" si="18"/>
        <v>0</v>
      </c>
      <c r="Q34" s="6">
        <f t="shared" si="16"/>
        <v>-3641</v>
      </c>
      <c r="R34" s="3">
        <f t="shared" si="18"/>
        <v>103</v>
      </c>
      <c r="S34" s="6">
        <f t="shared" ref="S34:AA34" si="22">S28-Q28</f>
        <v>3744</v>
      </c>
      <c r="T34" s="12">
        <f t="shared" si="22"/>
        <v>53</v>
      </c>
      <c r="U34" s="6">
        <f t="shared" si="22"/>
        <v>53</v>
      </c>
      <c r="V34" s="6">
        <f t="shared" si="22"/>
        <v>46</v>
      </c>
      <c r="W34" s="6">
        <f t="shared" si="22"/>
        <v>46</v>
      </c>
      <c r="X34" s="6">
        <f t="shared" si="22"/>
        <v>53</v>
      </c>
      <c r="Y34" s="6">
        <f t="shared" si="22"/>
        <v>-3843</v>
      </c>
      <c r="Z34" s="6">
        <f t="shared" si="22"/>
        <v>39</v>
      </c>
      <c r="AA34" s="6">
        <f t="shared" si="22"/>
        <v>0</v>
      </c>
    </row>
    <row r="35" spans="1:27" ht="12.75" customHeight="1" x14ac:dyDescent="0.2">
      <c r="M35" s="7"/>
      <c r="Q35" s="7"/>
      <c r="U35" s="6"/>
    </row>
    <row r="36" spans="1:27" ht="12.75" customHeight="1" x14ac:dyDescent="0.2">
      <c r="M36" s="7"/>
      <c r="Q36" s="7"/>
      <c r="U36" s="6"/>
    </row>
    <row r="37" spans="1:27" ht="12.75" customHeight="1" x14ac:dyDescent="0.2">
      <c r="A37" s="2">
        <v>2026</v>
      </c>
      <c r="B37" s="2"/>
      <c r="M37" s="7"/>
      <c r="Q37" s="7"/>
      <c r="U37" s="6"/>
    </row>
    <row r="38" spans="1:27" ht="12.75" customHeight="1" x14ac:dyDescent="0.2">
      <c r="D38" s="1" t="s">
        <v>1</v>
      </c>
      <c r="E38" s="1"/>
      <c r="F38" s="1" t="s">
        <v>2</v>
      </c>
      <c r="G38" s="5"/>
      <c r="H38" s="1" t="s">
        <v>18</v>
      </c>
      <c r="I38" s="5" t="s">
        <v>3</v>
      </c>
      <c r="J38" s="1" t="s">
        <v>4</v>
      </c>
      <c r="K38" s="5" t="s">
        <v>5</v>
      </c>
      <c r="L38" s="1" t="s">
        <v>6</v>
      </c>
      <c r="M38" s="5"/>
      <c r="N38" s="1" t="s">
        <v>7</v>
      </c>
      <c r="O38" s="5"/>
      <c r="P38" s="1" t="s">
        <v>8</v>
      </c>
      <c r="Q38" s="5"/>
      <c r="R38" s="1" t="s">
        <v>9</v>
      </c>
      <c r="S38" s="1"/>
      <c r="T38" s="1" t="s">
        <v>10</v>
      </c>
      <c r="U38" s="6"/>
      <c r="V38" s="1" t="s">
        <v>11</v>
      </c>
      <c r="W38" s="6"/>
      <c r="X38" s="1" t="s">
        <v>19</v>
      </c>
      <c r="Z38" t="s">
        <v>12</v>
      </c>
    </row>
    <row r="39" spans="1:27" ht="12.75" customHeight="1" x14ac:dyDescent="0.2">
      <c r="D39" s="3"/>
      <c r="E39" s="3"/>
      <c r="F39" s="3"/>
      <c r="G39" s="6"/>
      <c r="H39" s="3"/>
      <c r="I39" s="6"/>
      <c r="J39" s="3"/>
      <c r="K39" s="6"/>
      <c r="L39" s="3"/>
      <c r="M39" s="6"/>
      <c r="N39" s="3"/>
      <c r="O39" s="6"/>
      <c r="P39" s="3"/>
      <c r="Q39" s="6"/>
      <c r="R39" s="3"/>
      <c r="S39" s="3"/>
      <c r="T39" s="3"/>
      <c r="U39" s="6"/>
      <c r="V39" s="3"/>
      <c r="W39" s="6"/>
      <c r="X39" s="3"/>
    </row>
    <row r="40" spans="1:27" ht="12.75" customHeight="1" x14ac:dyDescent="0.2">
      <c r="A40" s="2" t="s">
        <v>15</v>
      </c>
      <c r="B40" s="2">
        <v>366</v>
      </c>
      <c r="D40" s="7">
        <v>369</v>
      </c>
      <c r="E40" s="7"/>
      <c r="F40" s="3"/>
      <c r="G40" s="6"/>
      <c r="H40" s="3"/>
      <c r="I40" s="6"/>
      <c r="J40" s="3"/>
      <c r="K40" s="9"/>
      <c r="L40" s="3"/>
      <c r="M40" s="6"/>
      <c r="N40" s="3"/>
      <c r="O40" s="9"/>
      <c r="P40" s="3"/>
      <c r="Q40" s="6"/>
      <c r="R40" s="3"/>
      <c r="S40" s="11"/>
      <c r="T40" s="3"/>
      <c r="U40" s="13"/>
      <c r="V40" s="3"/>
      <c r="W40" s="6"/>
      <c r="X40" s="3"/>
      <c r="Y40" s="2"/>
      <c r="Z40" s="2"/>
      <c r="AA40" s="7"/>
    </row>
    <row r="41" spans="1:27" ht="12.75" customHeight="1" x14ac:dyDescent="0.2">
      <c r="A41" s="2" t="s">
        <v>13</v>
      </c>
      <c r="B41" s="2">
        <v>247</v>
      </c>
      <c r="D41" s="7">
        <v>250</v>
      </c>
      <c r="E41" s="7"/>
      <c r="F41" s="3"/>
      <c r="G41" s="6"/>
      <c r="H41" s="3"/>
      <c r="I41" s="6"/>
      <c r="J41" s="3"/>
      <c r="K41" s="9"/>
      <c r="L41" s="3"/>
      <c r="M41" s="6"/>
      <c r="N41" s="3"/>
      <c r="O41" s="9"/>
      <c r="P41" s="3"/>
      <c r="Q41" s="6"/>
      <c r="R41" s="3"/>
      <c r="S41" s="11"/>
      <c r="T41" s="3"/>
      <c r="U41" s="13"/>
      <c r="V41" s="3"/>
      <c r="W41" s="6"/>
      <c r="X41" s="3"/>
      <c r="Y41" s="2"/>
      <c r="Z41" s="2"/>
      <c r="AA41" s="7"/>
    </row>
    <row r="42" spans="1:27" ht="12.75" customHeight="1" x14ac:dyDescent="0.2">
      <c r="A42" s="2" t="s">
        <v>16</v>
      </c>
      <c r="B42" s="2">
        <v>9695</v>
      </c>
      <c r="D42" s="7">
        <v>9792</v>
      </c>
      <c r="E42" s="7"/>
      <c r="F42" s="3"/>
      <c r="G42" s="3"/>
      <c r="H42" s="3"/>
      <c r="I42" s="6"/>
      <c r="J42" s="3"/>
      <c r="K42" s="10"/>
      <c r="L42" s="3"/>
      <c r="M42" s="3"/>
      <c r="N42" s="3"/>
      <c r="O42" s="10"/>
      <c r="P42" s="3"/>
      <c r="Q42" s="6"/>
      <c r="R42" s="3"/>
      <c r="S42" s="11"/>
      <c r="T42" s="3"/>
      <c r="U42" s="11"/>
      <c r="V42" s="3"/>
      <c r="W42" s="3"/>
      <c r="X42" s="3"/>
      <c r="Y42" s="3"/>
      <c r="Z42" s="2"/>
      <c r="AA42" s="7"/>
    </row>
    <row r="43" spans="1:27" ht="12.75" customHeight="1" x14ac:dyDescent="0.2">
      <c r="A43" s="2" t="s">
        <v>17</v>
      </c>
      <c r="B43" s="2">
        <v>3935</v>
      </c>
      <c r="D43" s="7">
        <v>3978</v>
      </c>
      <c r="E43" s="7"/>
      <c r="F43" s="3"/>
      <c r="G43" s="3"/>
      <c r="H43" s="3"/>
      <c r="I43" s="6"/>
      <c r="J43" s="3"/>
      <c r="K43" s="10"/>
      <c r="L43" s="3"/>
      <c r="M43" s="3"/>
      <c r="N43" s="3"/>
      <c r="O43" s="10"/>
      <c r="P43" s="3"/>
      <c r="Q43" s="6"/>
      <c r="R43" s="3"/>
      <c r="S43" s="11"/>
      <c r="T43" s="3"/>
      <c r="U43" s="11"/>
      <c r="V43" s="3"/>
      <c r="W43" s="3"/>
      <c r="X43" s="14"/>
      <c r="Y43" s="3"/>
      <c r="Z43" s="2"/>
      <c r="AA43" s="7"/>
    </row>
    <row r="44" spans="1:27" ht="12.75" customHeight="1" x14ac:dyDescent="0.2">
      <c r="A44" s="2" t="s">
        <v>14</v>
      </c>
      <c r="B44" s="2"/>
      <c r="D44" s="7"/>
      <c r="E44" s="7"/>
      <c r="F44" s="3"/>
      <c r="G44" s="6"/>
      <c r="H44" s="3"/>
      <c r="I44" s="6"/>
      <c r="J44" s="3"/>
      <c r="K44" s="9"/>
      <c r="L44" s="3"/>
      <c r="M44" s="6"/>
      <c r="N44" s="3"/>
      <c r="O44" s="9"/>
      <c r="P44" s="3"/>
      <c r="Q44" s="6"/>
      <c r="R44" s="3"/>
      <c r="S44" s="11"/>
      <c r="T44" s="3"/>
      <c r="U44" s="13"/>
      <c r="V44" s="3"/>
      <c r="W44" s="6"/>
      <c r="X44" s="3"/>
      <c r="AA44" s="7"/>
    </row>
    <row r="45" spans="1:27" ht="12.75" customHeight="1" x14ac:dyDescent="0.2">
      <c r="D45" s="6" t="e">
        <f>C39-#REF!</f>
        <v>#REF!</v>
      </c>
      <c r="E45" s="3"/>
      <c r="F45" s="3"/>
      <c r="G45" s="6"/>
      <c r="H45" s="3"/>
      <c r="I45" s="3"/>
      <c r="J45" s="3"/>
      <c r="K45" s="6"/>
      <c r="L45" s="3"/>
      <c r="M45" s="6"/>
      <c r="N45" s="3"/>
      <c r="O45" s="6"/>
      <c r="P45" s="3"/>
      <c r="Q45" s="6"/>
      <c r="R45" s="3"/>
      <c r="S45" s="3"/>
      <c r="T45" s="3"/>
      <c r="U45" s="3"/>
      <c r="V45" s="3"/>
      <c r="W45" s="3"/>
      <c r="X45" s="3"/>
    </row>
    <row r="46" spans="1:27" ht="12.75" customHeight="1" x14ac:dyDescent="0.2">
      <c r="A46" s="2" t="s">
        <v>15</v>
      </c>
      <c r="B46" s="2"/>
      <c r="D46" s="3">
        <f>D40-B40</f>
        <v>3</v>
      </c>
      <c r="E46" s="3"/>
      <c r="F46" s="3">
        <f>F41-D41</f>
        <v>-250</v>
      </c>
      <c r="G46" s="6">
        <f>G41-E41</f>
        <v>0</v>
      </c>
      <c r="H46" s="3">
        <f>H41-F41</f>
        <v>0</v>
      </c>
      <c r="I46" s="6">
        <f>I41-G41</f>
        <v>0</v>
      </c>
      <c r="J46" s="3">
        <f>J41-H41</f>
        <v>0</v>
      </c>
      <c r="K46" s="6">
        <f>K41-I41</f>
        <v>0</v>
      </c>
      <c r="L46" s="3">
        <f>L41-J41</f>
        <v>0</v>
      </c>
      <c r="M46" s="6">
        <f>M41-K41</f>
        <v>0</v>
      </c>
      <c r="N46" s="3">
        <f>N41-L41</f>
        <v>0</v>
      </c>
      <c r="O46" s="6">
        <f>O41-M41</f>
        <v>0</v>
      </c>
      <c r="P46" s="3">
        <f>P41-N41</f>
        <v>0</v>
      </c>
      <c r="Q46" s="6">
        <f>Q41-O41</f>
        <v>0</v>
      </c>
      <c r="R46" s="3">
        <f>R41-P41</f>
        <v>0</v>
      </c>
      <c r="S46" s="6">
        <f>S41-Q41</f>
        <v>0</v>
      </c>
      <c r="T46" s="12">
        <f>T41-R41</f>
        <v>0</v>
      </c>
      <c r="U46" s="6">
        <f>U41-S41</f>
        <v>0</v>
      </c>
      <c r="V46" s="6">
        <f>V41-T41</f>
        <v>0</v>
      </c>
      <c r="W46" s="6">
        <f>W41-U41</f>
        <v>0</v>
      </c>
      <c r="X46" s="6">
        <f>X41-V41</f>
        <v>0</v>
      </c>
      <c r="Y46" s="6">
        <f>Y41-W41</f>
        <v>0</v>
      </c>
      <c r="Z46" s="6">
        <f>Z41-X41</f>
        <v>0</v>
      </c>
      <c r="AA46" s="6">
        <f>AA41-Y41</f>
        <v>0</v>
      </c>
    </row>
    <row r="47" spans="1:27" ht="12.75" customHeight="1" x14ac:dyDescent="0.2">
      <c r="A47" s="2" t="s">
        <v>13</v>
      </c>
      <c r="B47" s="2"/>
      <c r="D47" s="3">
        <f>D41-B41</f>
        <v>3</v>
      </c>
      <c r="E47" s="1"/>
      <c r="F47" s="3">
        <f>F44-D44</f>
        <v>0</v>
      </c>
      <c r="G47" s="6">
        <f>G44-E44</f>
        <v>0</v>
      </c>
      <c r="H47" s="3">
        <f>H44-F44</f>
        <v>0</v>
      </c>
      <c r="I47" s="6">
        <f>I44-G44</f>
        <v>0</v>
      </c>
      <c r="J47" s="3">
        <f>J44-H44</f>
        <v>0</v>
      </c>
      <c r="K47" s="6">
        <f>K44-I44</f>
        <v>0</v>
      </c>
      <c r="L47" s="3">
        <f>L44-J44</f>
        <v>0</v>
      </c>
      <c r="M47" s="6">
        <f>M44-K44</f>
        <v>0</v>
      </c>
      <c r="N47" s="3">
        <f>N44-L44</f>
        <v>0</v>
      </c>
      <c r="O47" s="6">
        <f>O44-M44</f>
        <v>0</v>
      </c>
      <c r="P47" s="3">
        <f>P44-N44</f>
        <v>0</v>
      </c>
      <c r="Q47" s="6">
        <f>Q44-O44</f>
        <v>0</v>
      </c>
      <c r="R47" s="3">
        <f>R44-P44</f>
        <v>0</v>
      </c>
      <c r="S47" s="6">
        <f>S44-Q44</f>
        <v>0</v>
      </c>
      <c r="T47" s="12">
        <f>T44-R44</f>
        <v>0</v>
      </c>
      <c r="U47" s="6">
        <f>U44-S44</f>
        <v>0</v>
      </c>
      <c r="V47" s="6">
        <f>V44-T44</f>
        <v>0</v>
      </c>
      <c r="W47" s="6">
        <f>W44-U44</f>
        <v>0</v>
      </c>
      <c r="X47" s="6">
        <f>X44-V44</f>
        <v>0</v>
      </c>
      <c r="Y47" s="6">
        <f>Y44-W44</f>
        <v>0</v>
      </c>
      <c r="Z47" s="6">
        <f>Z44-X44</f>
        <v>0</v>
      </c>
      <c r="AA47" s="6">
        <f>AA44-Y44</f>
        <v>0</v>
      </c>
    </row>
    <row r="48" spans="1:27" ht="12.75" customHeight="1" x14ac:dyDescent="0.2">
      <c r="A48" s="2" t="s">
        <v>16</v>
      </c>
      <c r="B48" s="2"/>
      <c r="D48" s="3">
        <f>D42-B42</f>
        <v>97</v>
      </c>
      <c r="E48" s="1"/>
      <c r="F48" s="3">
        <f>F40-D40</f>
        <v>-369</v>
      </c>
      <c r="G48" s="6">
        <f>G40-E40</f>
        <v>0</v>
      </c>
      <c r="H48" s="3">
        <f>H40-F40</f>
        <v>0</v>
      </c>
      <c r="I48" s="6">
        <f>I40-G40</f>
        <v>0</v>
      </c>
      <c r="J48" s="3">
        <f>J40-H40</f>
        <v>0</v>
      </c>
      <c r="K48" s="6">
        <f>K40-I40</f>
        <v>0</v>
      </c>
      <c r="L48" s="3">
        <f>L40-J40</f>
        <v>0</v>
      </c>
      <c r="M48" s="6">
        <f>M40-K40</f>
        <v>0</v>
      </c>
      <c r="N48" s="3">
        <f>N40-L40</f>
        <v>0</v>
      </c>
      <c r="O48" s="6">
        <f>O40-M40</f>
        <v>0</v>
      </c>
      <c r="P48" s="3">
        <f>P40-N40</f>
        <v>0</v>
      </c>
      <c r="Q48" s="6">
        <f>Q40-O40</f>
        <v>0</v>
      </c>
      <c r="R48" s="3">
        <f>R40-P40</f>
        <v>0</v>
      </c>
      <c r="S48" s="6">
        <f>S40-Q40</f>
        <v>0</v>
      </c>
      <c r="T48" s="12">
        <f>T40-R40</f>
        <v>0</v>
      </c>
      <c r="U48" s="6">
        <f>U40-S40</f>
        <v>0</v>
      </c>
      <c r="V48" s="6">
        <f>V40-T40</f>
        <v>0</v>
      </c>
      <c r="W48" s="6">
        <f>W40-U40</f>
        <v>0</v>
      </c>
      <c r="X48" s="6">
        <f>X40-V40</f>
        <v>0</v>
      </c>
      <c r="Y48" s="6">
        <f>Y40-W40</f>
        <v>0</v>
      </c>
      <c r="Z48" s="6">
        <f>Z40-X40</f>
        <v>0</v>
      </c>
      <c r="AA48" s="6">
        <f>AA40-Y40</f>
        <v>0</v>
      </c>
    </row>
    <row r="49" spans="1:27" ht="12.75" customHeight="1" x14ac:dyDescent="0.2">
      <c r="A49" s="2" t="s">
        <v>17</v>
      </c>
      <c r="B49" s="2"/>
      <c r="D49" s="3">
        <f>D43-B43</f>
        <v>43</v>
      </c>
      <c r="F49" s="3">
        <f t="shared" ref="D49:F50" si="23">F42-D42</f>
        <v>-9792</v>
      </c>
      <c r="G49" s="6">
        <f t="shared" ref="G49:G50" si="24">G42-E42</f>
        <v>0</v>
      </c>
      <c r="H49" s="3">
        <f t="shared" ref="H49:H50" si="25">H42-F42</f>
        <v>0</v>
      </c>
      <c r="I49" s="6">
        <f t="shared" ref="I49:I50" si="26">I42-G42</f>
        <v>0</v>
      </c>
      <c r="J49" s="3">
        <f t="shared" ref="J49:J50" si="27">J42-H42</f>
        <v>0</v>
      </c>
      <c r="K49" s="6">
        <f t="shared" ref="K49:K50" si="28">K42-I42</f>
        <v>0</v>
      </c>
      <c r="L49" s="3">
        <f t="shared" ref="L49:L50" si="29">L42-J42</f>
        <v>0</v>
      </c>
      <c r="M49" s="6">
        <f t="shared" ref="M49:M50" si="30">M42-K42</f>
        <v>0</v>
      </c>
      <c r="N49" s="3">
        <f t="shared" ref="N49:N50" si="31">N42-L42</f>
        <v>0</v>
      </c>
      <c r="O49" s="6">
        <f t="shared" ref="O49:O50" si="32">O42-M42</f>
        <v>0</v>
      </c>
      <c r="P49" s="3">
        <f t="shared" ref="P49:P50" si="33">P42-N42</f>
        <v>0</v>
      </c>
      <c r="Q49" s="6">
        <f t="shared" ref="Q49:Q50" si="34">Q42-O42</f>
        <v>0</v>
      </c>
      <c r="R49" s="3">
        <f t="shared" ref="R49:R50" si="35">R42-P42</f>
        <v>0</v>
      </c>
      <c r="S49" s="6">
        <f t="shared" ref="S49:S50" si="36">S42-Q42</f>
        <v>0</v>
      </c>
      <c r="T49" s="12">
        <f t="shared" ref="T49:T50" si="37">T42-R42</f>
        <v>0</v>
      </c>
      <c r="U49" s="6">
        <f t="shared" ref="U49:U50" si="38">U42-S42</f>
        <v>0</v>
      </c>
      <c r="V49" s="6">
        <f t="shared" ref="V49:V50" si="39">V42-T42</f>
        <v>0</v>
      </c>
      <c r="W49" s="6">
        <f t="shared" ref="W49:W50" si="40">W42-U42</f>
        <v>0</v>
      </c>
      <c r="X49" s="6">
        <f t="shared" ref="X49:X50" si="41">X42-V42</f>
        <v>0</v>
      </c>
      <c r="Y49" s="6">
        <f t="shared" ref="Y49:Y50" si="42">Y42-W42</f>
        <v>0</v>
      </c>
      <c r="Z49" s="6">
        <f t="shared" ref="Z49:Z50" si="43">Z42-X42</f>
        <v>0</v>
      </c>
      <c r="AA49" s="6">
        <f t="shared" ref="AA49:AA50" si="44">AA42-Y42</f>
        <v>0</v>
      </c>
    </row>
    <row r="50" spans="1:27" ht="12.75" customHeight="1" x14ac:dyDescent="0.2">
      <c r="A50" s="2" t="s">
        <v>14</v>
      </c>
      <c r="B50" s="2"/>
      <c r="F50" s="3">
        <f t="shared" si="23"/>
        <v>-3978</v>
      </c>
      <c r="G50" s="6">
        <f t="shared" si="24"/>
        <v>0</v>
      </c>
      <c r="H50" s="3">
        <f t="shared" si="25"/>
        <v>0</v>
      </c>
      <c r="I50" s="6">
        <f t="shared" si="26"/>
        <v>0</v>
      </c>
      <c r="J50" s="3">
        <f t="shared" si="27"/>
        <v>0</v>
      </c>
      <c r="K50" s="6">
        <f t="shared" si="28"/>
        <v>0</v>
      </c>
      <c r="L50" s="3">
        <f t="shared" si="29"/>
        <v>0</v>
      </c>
      <c r="M50" s="6">
        <f t="shared" si="30"/>
        <v>0</v>
      </c>
      <c r="N50" s="3">
        <f t="shared" si="31"/>
        <v>0</v>
      </c>
      <c r="O50" s="6">
        <f t="shared" si="32"/>
        <v>0</v>
      </c>
      <c r="P50" s="3">
        <f t="shared" si="33"/>
        <v>0</v>
      </c>
      <c r="Q50" s="6">
        <f t="shared" si="34"/>
        <v>0</v>
      </c>
      <c r="R50" s="3">
        <f t="shared" si="35"/>
        <v>0</v>
      </c>
      <c r="S50" s="6">
        <f t="shared" si="36"/>
        <v>0</v>
      </c>
      <c r="T50" s="12">
        <f t="shared" si="37"/>
        <v>0</v>
      </c>
      <c r="U50" s="6">
        <f t="shared" si="38"/>
        <v>0</v>
      </c>
      <c r="V50" s="6">
        <f t="shared" si="39"/>
        <v>0</v>
      </c>
      <c r="W50" s="6">
        <f t="shared" si="40"/>
        <v>0</v>
      </c>
      <c r="X50" s="6">
        <f t="shared" si="41"/>
        <v>0</v>
      </c>
      <c r="Y50" s="6">
        <f t="shared" si="42"/>
        <v>0</v>
      </c>
      <c r="Z50" s="6">
        <f t="shared" si="43"/>
        <v>0</v>
      </c>
      <c r="AA50" s="6">
        <f t="shared" si="44"/>
        <v>0</v>
      </c>
    </row>
    <row r="51" spans="1:27" ht="12.75" customHeight="1" x14ac:dyDescent="0.2">
      <c r="M51" s="7"/>
      <c r="Q51" s="7"/>
      <c r="U51" s="6"/>
    </row>
    <row r="52" spans="1:27" ht="12.75" customHeight="1" x14ac:dyDescent="0.2">
      <c r="M52" s="7"/>
      <c r="Q52" s="7"/>
      <c r="U52" s="6"/>
    </row>
    <row r="53" spans="1:27" ht="12.75" customHeight="1" x14ac:dyDescent="0.2">
      <c r="M53" s="7"/>
      <c r="Q53" s="7"/>
      <c r="U53" s="6"/>
    </row>
    <row r="54" spans="1:27" ht="12.75" customHeight="1" x14ac:dyDescent="0.2">
      <c r="M54" s="7"/>
      <c r="Q54" s="7"/>
      <c r="U54" s="6"/>
    </row>
    <row r="55" spans="1:27" ht="12.75" customHeight="1" x14ac:dyDescent="0.2">
      <c r="M55" s="7"/>
      <c r="Q55" s="7"/>
      <c r="U55" s="6"/>
    </row>
    <row r="56" spans="1:27" ht="12.75" customHeight="1" x14ac:dyDescent="0.2">
      <c r="M56" s="7"/>
      <c r="Q56" s="7"/>
      <c r="U56" s="6"/>
    </row>
    <row r="57" spans="1:27" ht="12.75" customHeight="1" x14ac:dyDescent="0.2">
      <c r="M57" s="7"/>
      <c r="Q57" s="7"/>
      <c r="U57" s="6"/>
    </row>
    <row r="58" spans="1:27" ht="12.75" customHeight="1" x14ac:dyDescent="0.2">
      <c r="M58" s="7"/>
      <c r="Q58" s="7"/>
      <c r="U58" s="6"/>
    </row>
    <row r="59" spans="1:27" ht="12.75" customHeight="1" x14ac:dyDescent="0.2">
      <c r="M59" s="7"/>
      <c r="Q59" s="7"/>
      <c r="U59" s="6"/>
    </row>
    <row r="60" spans="1:27" ht="12.75" customHeight="1" x14ac:dyDescent="0.2">
      <c r="M60" s="7"/>
      <c r="Q60" s="7"/>
      <c r="U60" s="6"/>
    </row>
    <row r="61" spans="1:27" ht="12.75" customHeight="1" x14ac:dyDescent="0.2">
      <c r="M61" s="7"/>
      <c r="Q61" s="7"/>
      <c r="U61" s="6"/>
    </row>
    <row r="62" spans="1:27" ht="12.75" customHeight="1" x14ac:dyDescent="0.2">
      <c r="M62" s="7"/>
      <c r="Q62" s="7"/>
      <c r="U62" s="6"/>
    </row>
    <row r="63" spans="1:27" ht="12.75" customHeight="1" x14ac:dyDescent="0.2">
      <c r="M63" s="7"/>
      <c r="Q63" s="7"/>
      <c r="U63" s="6"/>
    </row>
    <row r="64" spans="1:27" ht="12.75" customHeight="1" x14ac:dyDescent="0.2">
      <c r="M64" s="7"/>
      <c r="Q64" s="7"/>
      <c r="U64" s="6"/>
    </row>
    <row r="65" spans="13:21" ht="12.75" customHeight="1" x14ac:dyDescent="0.2">
      <c r="M65" s="7"/>
      <c r="Q65" s="7"/>
      <c r="U65" s="6"/>
    </row>
    <row r="66" spans="13:21" ht="12.75" customHeight="1" x14ac:dyDescent="0.2">
      <c r="M66" s="7"/>
      <c r="Q66" s="7"/>
      <c r="U66" s="6"/>
    </row>
    <row r="67" spans="13:21" ht="12.75" customHeight="1" x14ac:dyDescent="0.2">
      <c r="M67" s="7"/>
      <c r="Q67" s="7"/>
      <c r="U67" s="6"/>
    </row>
    <row r="68" spans="13:21" ht="12.75" customHeight="1" x14ac:dyDescent="0.2">
      <c r="M68" s="7"/>
      <c r="Q68" s="7"/>
      <c r="U68" s="6"/>
    </row>
    <row r="69" spans="13:21" ht="12.75" customHeight="1" x14ac:dyDescent="0.2">
      <c r="M69" s="7"/>
      <c r="Q69" s="7"/>
      <c r="U69" s="6"/>
    </row>
    <row r="70" spans="13:21" ht="12.75" customHeight="1" x14ac:dyDescent="0.2">
      <c r="M70" s="7"/>
      <c r="Q70" s="7"/>
      <c r="U70" s="6"/>
    </row>
    <row r="71" spans="13:21" ht="12.75" customHeight="1" x14ac:dyDescent="0.2">
      <c r="M71" s="7"/>
      <c r="Q71" s="7"/>
      <c r="U71" s="6"/>
    </row>
    <row r="72" spans="13:21" ht="12.75" customHeight="1" x14ac:dyDescent="0.2">
      <c r="M72" s="7"/>
      <c r="Q72" s="7"/>
      <c r="U72" s="6"/>
    </row>
    <row r="73" spans="13:21" ht="12.75" customHeight="1" x14ac:dyDescent="0.2">
      <c r="M73" s="7"/>
      <c r="Q73" s="7"/>
      <c r="U73" s="6"/>
    </row>
    <row r="74" spans="13:21" ht="12.75" customHeight="1" x14ac:dyDescent="0.2">
      <c r="M74" s="7"/>
      <c r="Q74" s="7"/>
      <c r="U74" s="6"/>
    </row>
    <row r="75" spans="13:21" ht="12.75" customHeight="1" x14ac:dyDescent="0.2">
      <c r="M75" s="7"/>
      <c r="Q75" s="7"/>
      <c r="U75" s="6"/>
    </row>
    <row r="76" spans="13:21" ht="12.75" customHeight="1" x14ac:dyDescent="0.2">
      <c r="M76" s="7"/>
      <c r="Q76" s="7"/>
      <c r="U76" s="6"/>
    </row>
    <row r="77" spans="13:21" ht="12.75" customHeight="1" x14ac:dyDescent="0.2">
      <c r="M77" s="7"/>
      <c r="Q77" s="7"/>
      <c r="U77" s="6"/>
    </row>
    <row r="78" spans="13:21" ht="12.75" customHeight="1" x14ac:dyDescent="0.2">
      <c r="M78" s="7"/>
      <c r="Q78" s="7"/>
      <c r="U78" s="6"/>
    </row>
    <row r="79" spans="13:21" ht="12.75" customHeight="1" x14ac:dyDescent="0.2">
      <c r="M79" s="7"/>
      <c r="Q79" s="7"/>
      <c r="U79" s="6"/>
    </row>
    <row r="80" spans="13:21" ht="12.75" customHeight="1" x14ac:dyDescent="0.2">
      <c r="M80" s="7"/>
      <c r="Q80" s="7"/>
      <c r="U80" s="6"/>
    </row>
    <row r="81" spans="13:21" ht="12.75" customHeight="1" x14ac:dyDescent="0.2">
      <c r="M81" s="7"/>
      <c r="Q81" s="7"/>
      <c r="U81" s="6"/>
    </row>
    <row r="82" spans="13:21" ht="12.75" customHeight="1" x14ac:dyDescent="0.2">
      <c r="M82" s="7"/>
      <c r="Q82" s="7"/>
      <c r="U82" s="6"/>
    </row>
    <row r="83" spans="13:21" ht="12.75" customHeight="1" x14ac:dyDescent="0.2">
      <c r="M83" s="7"/>
      <c r="Q83" s="7"/>
      <c r="U83" s="6"/>
    </row>
    <row r="84" spans="13:21" ht="12.75" customHeight="1" x14ac:dyDescent="0.2">
      <c r="M84" s="7"/>
      <c r="Q84" s="7"/>
      <c r="U84" s="6"/>
    </row>
    <row r="85" spans="13:21" ht="12.75" customHeight="1" x14ac:dyDescent="0.2">
      <c r="M85" s="7"/>
      <c r="Q85" s="7"/>
      <c r="U85" s="6"/>
    </row>
    <row r="86" spans="13:21" ht="12.75" customHeight="1" x14ac:dyDescent="0.2">
      <c r="M86" s="7"/>
      <c r="Q86" s="7"/>
      <c r="U86" s="6"/>
    </row>
    <row r="87" spans="13:21" ht="12.75" customHeight="1" x14ac:dyDescent="0.2">
      <c r="M87" s="7"/>
      <c r="Q87" s="7"/>
      <c r="U87" s="6"/>
    </row>
    <row r="88" spans="13:21" ht="12.75" customHeight="1" x14ac:dyDescent="0.2">
      <c r="M88" s="7"/>
      <c r="Q88" s="7"/>
      <c r="U88" s="6"/>
    </row>
    <row r="89" spans="13:21" ht="12.75" customHeight="1" x14ac:dyDescent="0.2">
      <c r="M89" s="7"/>
      <c r="Q89" s="7"/>
      <c r="U89" s="6"/>
    </row>
    <row r="90" spans="13:21" ht="12.75" customHeight="1" x14ac:dyDescent="0.2">
      <c r="M90" s="7"/>
      <c r="Q90" s="7"/>
      <c r="U90" s="6"/>
    </row>
    <row r="91" spans="13:21" ht="12.75" customHeight="1" x14ac:dyDescent="0.2">
      <c r="M91" s="7"/>
      <c r="Q91" s="7"/>
      <c r="U91" s="6"/>
    </row>
    <row r="92" spans="13:21" ht="12.75" customHeight="1" x14ac:dyDescent="0.2">
      <c r="M92" s="7"/>
      <c r="Q92" s="7"/>
      <c r="U92" s="6"/>
    </row>
    <row r="93" spans="13:21" ht="12.75" customHeight="1" x14ac:dyDescent="0.2">
      <c r="M93" s="7"/>
      <c r="Q93" s="7"/>
      <c r="U93" s="6"/>
    </row>
    <row r="94" spans="13:21" ht="12.75" customHeight="1" x14ac:dyDescent="0.2">
      <c r="M94" s="7"/>
      <c r="Q94" s="7"/>
      <c r="U94" s="6"/>
    </row>
    <row r="95" spans="13:21" ht="12.75" customHeight="1" x14ac:dyDescent="0.2">
      <c r="M95" s="7"/>
      <c r="Q95" s="7"/>
      <c r="U95" s="6"/>
    </row>
    <row r="96" spans="13:21" ht="12.75" customHeight="1" x14ac:dyDescent="0.2">
      <c r="M96" s="7"/>
      <c r="Q96" s="7"/>
      <c r="U96" s="6"/>
    </row>
    <row r="97" spans="13:21" ht="12.75" customHeight="1" x14ac:dyDescent="0.2">
      <c r="M97" s="7"/>
      <c r="Q97" s="7"/>
      <c r="U97" s="6"/>
    </row>
    <row r="98" spans="13:21" ht="12.75" customHeight="1" x14ac:dyDescent="0.2">
      <c r="M98" s="7"/>
      <c r="Q98" s="7"/>
      <c r="U98" s="6"/>
    </row>
    <row r="99" spans="13:21" ht="12.75" customHeight="1" x14ac:dyDescent="0.2">
      <c r="M99" s="7"/>
      <c r="Q99" s="7"/>
      <c r="U99" s="6"/>
    </row>
    <row r="100" spans="13:21" ht="12.75" customHeight="1" x14ac:dyDescent="0.2">
      <c r="M100" s="7"/>
      <c r="Q100" s="7"/>
      <c r="U100" s="6"/>
    </row>
    <row r="101" spans="13:21" ht="12.75" customHeight="1" x14ac:dyDescent="0.2">
      <c r="M101" s="7"/>
      <c r="Q101" s="7"/>
      <c r="U101" s="6"/>
    </row>
    <row r="102" spans="13:21" ht="12.75" customHeight="1" x14ac:dyDescent="0.2">
      <c r="M102" s="7"/>
      <c r="Q102" s="7"/>
      <c r="U102" s="6"/>
    </row>
    <row r="103" spans="13:21" ht="12.75" customHeight="1" x14ac:dyDescent="0.2">
      <c r="M103" s="7"/>
      <c r="Q103" s="7"/>
      <c r="U103" s="6"/>
    </row>
    <row r="104" spans="13:21" ht="12.75" customHeight="1" x14ac:dyDescent="0.2">
      <c r="M104" s="7"/>
      <c r="Q104" s="7"/>
      <c r="U104" s="6"/>
    </row>
    <row r="105" spans="13:21" ht="12.75" customHeight="1" x14ac:dyDescent="0.2">
      <c r="M105" s="7"/>
      <c r="Q105" s="7"/>
      <c r="U105" s="6"/>
    </row>
    <row r="106" spans="13:21" ht="12.75" customHeight="1" x14ac:dyDescent="0.2">
      <c r="M106" s="7"/>
      <c r="Q106" s="7"/>
      <c r="U106" s="6"/>
    </row>
    <row r="107" spans="13:21" ht="12.75" customHeight="1" x14ac:dyDescent="0.2">
      <c r="M107" s="7"/>
      <c r="Q107" s="7"/>
      <c r="U107" s="6"/>
    </row>
    <row r="108" spans="13:21" ht="12.75" customHeight="1" x14ac:dyDescent="0.2">
      <c r="M108" s="7"/>
      <c r="Q108" s="7"/>
      <c r="U108" s="6"/>
    </row>
    <row r="109" spans="13:21" ht="12.75" customHeight="1" x14ac:dyDescent="0.2">
      <c r="M109" s="7"/>
      <c r="Q109" s="7"/>
      <c r="U109" s="6"/>
    </row>
    <row r="110" spans="13:21" ht="12.75" customHeight="1" x14ac:dyDescent="0.2">
      <c r="M110" s="7"/>
      <c r="Q110" s="7"/>
      <c r="U110" s="6"/>
    </row>
    <row r="111" spans="13:21" ht="12.75" customHeight="1" x14ac:dyDescent="0.2">
      <c r="M111" s="7"/>
      <c r="Q111" s="7"/>
      <c r="U111" s="6"/>
    </row>
    <row r="112" spans="13:21" ht="12.75" customHeight="1" x14ac:dyDescent="0.2">
      <c r="M112" s="7"/>
      <c r="Q112" s="7"/>
      <c r="U112" s="6"/>
    </row>
    <row r="113" spans="13:21" ht="12.75" customHeight="1" x14ac:dyDescent="0.2">
      <c r="M113" s="7"/>
      <c r="Q113" s="7"/>
      <c r="U113" s="6"/>
    </row>
    <row r="114" spans="13:21" ht="12.75" customHeight="1" x14ac:dyDescent="0.2">
      <c r="M114" s="7"/>
      <c r="Q114" s="7"/>
      <c r="U114" s="6"/>
    </row>
    <row r="115" spans="13:21" ht="12.75" customHeight="1" x14ac:dyDescent="0.2">
      <c r="M115" s="7"/>
      <c r="Q115" s="7"/>
      <c r="U115" s="6"/>
    </row>
    <row r="116" spans="13:21" ht="12.75" customHeight="1" x14ac:dyDescent="0.2">
      <c r="M116" s="7"/>
      <c r="Q116" s="7"/>
      <c r="U116" s="6"/>
    </row>
    <row r="117" spans="13:21" ht="12.75" customHeight="1" x14ac:dyDescent="0.2">
      <c r="M117" s="7"/>
      <c r="Q117" s="7"/>
      <c r="U117" s="6"/>
    </row>
    <row r="118" spans="13:21" ht="12.75" customHeight="1" x14ac:dyDescent="0.2">
      <c r="M118" s="7"/>
      <c r="Q118" s="7"/>
      <c r="U118" s="6"/>
    </row>
    <row r="119" spans="13:21" ht="12.75" customHeight="1" x14ac:dyDescent="0.2">
      <c r="M119" s="7"/>
      <c r="Q119" s="7"/>
      <c r="U119" s="6"/>
    </row>
    <row r="120" spans="13:21" ht="12.75" customHeight="1" x14ac:dyDescent="0.2">
      <c r="M120" s="7"/>
      <c r="Q120" s="7"/>
      <c r="U120" s="6"/>
    </row>
    <row r="121" spans="13:21" ht="12.75" customHeight="1" x14ac:dyDescent="0.2">
      <c r="M121" s="7"/>
      <c r="Q121" s="7"/>
      <c r="U121" s="6"/>
    </row>
    <row r="122" spans="13:21" ht="12.75" customHeight="1" x14ac:dyDescent="0.2">
      <c r="M122" s="7"/>
      <c r="Q122" s="7"/>
      <c r="U122" s="6"/>
    </row>
    <row r="123" spans="13:21" ht="12.75" customHeight="1" x14ac:dyDescent="0.2">
      <c r="M123" s="7"/>
      <c r="Q123" s="7"/>
      <c r="U123" s="6"/>
    </row>
    <row r="124" spans="13:21" ht="12.75" customHeight="1" x14ac:dyDescent="0.2">
      <c r="M124" s="7"/>
      <c r="Q124" s="7"/>
      <c r="U124" s="6"/>
    </row>
    <row r="125" spans="13:21" ht="12.75" customHeight="1" x14ac:dyDescent="0.2">
      <c r="M125" s="7"/>
      <c r="Q125" s="7"/>
      <c r="U125" s="6"/>
    </row>
    <row r="126" spans="13:21" ht="12.75" customHeight="1" x14ac:dyDescent="0.2">
      <c r="M126" s="7"/>
      <c r="Q126" s="7"/>
      <c r="U126" s="6"/>
    </row>
    <row r="127" spans="13:21" ht="12.75" customHeight="1" x14ac:dyDescent="0.2">
      <c r="M127" s="7"/>
      <c r="Q127" s="7"/>
      <c r="U127" s="6"/>
    </row>
    <row r="128" spans="13:21" ht="12.75" customHeight="1" x14ac:dyDescent="0.2">
      <c r="M128" s="7"/>
      <c r="Q128" s="7"/>
      <c r="U128" s="6"/>
    </row>
    <row r="129" spans="13:21" ht="12.75" customHeight="1" x14ac:dyDescent="0.2">
      <c r="M129" s="7"/>
      <c r="Q129" s="7"/>
      <c r="U129" s="6"/>
    </row>
    <row r="130" spans="13:21" ht="12.75" customHeight="1" x14ac:dyDescent="0.2">
      <c r="M130" s="7"/>
      <c r="Q130" s="7"/>
      <c r="U130" s="6"/>
    </row>
    <row r="131" spans="13:21" ht="12.75" customHeight="1" x14ac:dyDescent="0.2">
      <c r="M131" s="7"/>
      <c r="Q131" s="7"/>
      <c r="U131" s="6"/>
    </row>
    <row r="132" spans="13:21" ht="12.75" customHeight="1" x14ac:dyDescent="0.2">
      <c r="M132" s="7"/>
      <c r="Q132" s="7"/>
      <c r="U132" s="6"/>
    </row>
    <row r="133" spans="13:21" ht="12.75" customHeight="1" x14ac:dyDescent="0.2">
      <c r="M133" s="7"/>
      <c r="Q133" s="7"/>
      <c r="U133" s="6"/>
    </row>
    <row r="134" spans="13:21" ht="12.75" customHeight="1" x14ac:dyDescent="0.2">
      <c r="M134" s="7"/>
      <c r="Q134" s="7"/>
      <c r="U134" s="6"/>
    </row>
    <row r="135" spans="13:21" ht="12.75" customHeight="1" x14ac:dyDescent="0.2">
      <c r="M135" s="7"/>
      <c r="Q135" s="7"/>
      <c r="U135" s="6"/>
    </row>
    <row r="136" spans="13:21" ht="12.75" customHeight="1" x14ac:dyDescent="0.2">
      <c r="M136" s="7"/>
      <c r="Q136" s="7"/>
      <c r="U136" s="6"/>
    </row>
    <row r="137" spans="13:21" ht="12.75" customHeight="1" x14ac:dyDescent="0.2">
      <c r="M137" s="7"/>
      <c r="Q137" s="7"/>
      <c r="U137" s="6"/>
    </row>
    <row r="138" spans="13:21" ht="12.75" customHeight="1" x14ac:dyDescent="0.2">
      <c r="M138" s="7"/>
      <c r="Q138" s="7"/>
      <c r="U138" s="6"/>
    </row>
    <row r="139" spans="13:21" ht="12.75" customHeight="1" x14ac:dyDescent="0.2">
      <c r="M139" s="7"/>
      <c r="Q139" s="7"/>
      <c r="U139" s="6"/>
    </row>
    <row r="140" spans="13:21" ht="12.75" customHeight="1" x14ac:dyDescent="0.2">
      <c r="M140" s="7"/>
      <c r="Q140" s="7"/>
      <c r="U140" s="6"/>
    </row>
    <row r="141" spans="13:21" ht="12.75" customHeight="1" x14ac:dyDescent="0.2">
      <c r="M141" s="7"/>
      <c r="Q141" s="7"/>
      <c r="U141" s="6"/>
    </row>
    <row r="142" spans="13:21" ht="12.75" customHeight="1" x14ac:dyDescent="0.2">
      <c r="M142" s="7"/>
      <c r="Q142" s="7"/>
      <c r="U142" s="6"/>
    </row>
    <row r="143" spans="13:21" ht="12.75" customHeight="1" x14ac:dyDescent="0.2">
      <c r="M143" s="7"/>
      <c r="Q143" s="7"/>
      <c r="U143" s="6"/>
    </row>
    <row r="144" spans="13:21" ht="12.75" customHeight="1" x14ac:dyDescent="0.2">
      <c r="M144" s="7"/>
      <c r="Q144" s="7"/>
      <c r="U144" s="6"/>
    </row>
    <row r="145" spans="13:21" ht="12.75" customHeight="1" x14ac:dyDescent="0.2">
      <c r="M145" s="7"/>
      <c r="Q145" s="7"/>
      <c r="U145" s="6"/>
    </row>
    <row r="146" spans="13:21" ht="12.75" customHeight="1" x14ac:dyDescent="0.2">
      <c r="M146" s="7"/>
      <c r="Q146" s="7"/>
      <c r="U146" s="6"/>
    </row>
    <row r="147" spans="13:21" ht="12.75" customHeight="1" x14ac:dyDescent="0.2">
      <c r="M147" s="7"/>
      <c r="Q147" s="7"/>
      <c r="U147" s="6"/>
    </row>
    <row r="148" spans="13:21" ht="12.75" customHeight="1" x14ac:dyDescent="0.2">
      <c r="M148" s="7"/>
      <c r="Q148" s="7"/>
      <c r="U148" s="6"/>
    </row>
    <row r="149" spans="13:21" ht="12.75" customHeight="1" x14ac:dyDescent="0.2">
      <c r="M149" s="7"/>
      <c r="Q149" s="7"/>
      <c r="U149" s="6"/>
    </row>
    <row r="150" spans="13:21" ht="12.75" customHeight="1" x14ac:dyDescent="0.2">
      <c r="M150" s="7"/>
      <c r="Q150" s="7"/>
      <c r="U150" s="6"/>
    </row>
    <row r="151" spans="13:21" ht="12.75" customHeight="1" x14ac:dyDescent="0.2">
      <c r="M151" s="7"/>
      <c r="Q151" s="7"/>
      <c r="U151" s="6"/>
    </row>
    <row r="152" spans="13:21" ht="12.75" customHeight="1" x14ac:dyDescent="0.2">
      <c r="M152" s="7"/>
      <c r="Q152" s="7"/>
      <c r="U152" s="6"/>
    </row>
    <row r="153" spans="13:21" ht="12.75" customHeight="1" x14ac:dyDescent="0.2">
      <c r="M153" s="7"/>
      <c r="Q153" s="7"/>
      <c r="U153" s="6"/>
    </row>
    <row r="154" spans="13:21" ht="12.75" customHeight="1" x14ac:dyDescent="0.2">
      <c r="M154" s="7"/>
      <c r="Q154" s="7"/>
      <c r="U154" s="6"/>
    </row>
    <row r="155" spans="13:21" ht="12.75" customHeight="1" x14ac:dyDescent="0.2">
      <c r="M155" s="7"/>
      <c r="Q155" s="7"/>
      <c r="U155" s="6"/>
    </row>
    <row r="156" spans="13:21" ht="12.75" customHeight="1" x14ac:dyDescent="0.2">
      <c r="M156" s="7"/>
      <c r="Q156" s="7"/>
      <c r="U156" s="6"/>
    </row>
    <row r="157" spans="13:21" ht="12.75" customHeight="1" x14ac:dyDescent="0.2">
      <c r="M157" s="7"/>
      <c r="Q157" s="7"/>
      <c r="U157" s="6"/>
    </row>
    <row r="158" spans="13:21" ht="12.75" customHeight="1" x14ac:dyDescent="0.2">
      <c r="M158" s="7"/>
      <c r="Q158" s="7"/>
      <c r="U158" s="6"/>
    </row>
    <row r="159" spans="13:21" ht="12.75" customHeight="1" x14ac:dyDescent="0.2">
      <c r="M159" s="7"/>
      <c r="Q159" s="7"/>
      <c r="U159" s="6"/>
    </row>
    <row r="160" spans="13:21" ht="12.75" customHeight="1" x14ac:dyDescent="0.2">
      <c r="M160" s="7"/>
      <c r="Q160" s="7"/>
      <c r="U160" s="6"/>
    </row>
    <row r="161" spans="13:21" ht="12.75" customHeight="1" x14ac:dyDescent="0.2">
      <c r="M161" s="7"/>
      <c r="Q161" s="7"/>
      <c r="U161" s="6"/>
    </row>
    <row r="162" spans="13:21" ht="12.75" customHeight="1" x14ac:dyDescent="0.2">
      <c r="M162" s="7"/>
      <c r="Q162" s="7"/>
      <c r="U162" s="6"/>
    </row>
    <row r="163" spans="13:21" ht="12.75" customHeight="1" x14ac:dyDescent="0.2">
      <c r="M163" s="7"/>
      <c r="Q163" s="7"/>
      <c r="U163" s="6"/>
    </row>
    <row r="164" spans="13:21" ht="12.75" customHeight="1" x14ac:dyDescent="0.2">
      <c r="M164" s="7"/>
      <c r="Q164" s="7"/>
      <c r="U164" s="6"/>
    </row>
    <row r="165" spans="13:21" ht="12.75" customHeight="1" x14ac:dyDescent="0.2">
      <c r="M165" s="7"/>
      <c r="Q165" s="7"/>
      <c r="U165" s="6"/>
    </row>
    <row r="166" spans="13:21" ht="12.75" customHeight="1" x14ac:dyDescent="0.2">
      <c r="M166" s="7"/>
      <c r="Q166" s="7"/>
      <c r="U166" s="6"/>
    </row>
    <row r="167" spans="13:21" ht="12.75" customHeight="1" x14ac:dyDescent="0.2">
      <c r="M167" s="7"/>
      <c r="Q167" s="7"/>
      <c r="U167" s="6"/>
    </row>
    <row r="168" spans="13:21" ht="12.75" customHeight="1" x14ac:dyDescent="0.2">
      <c r="M168" s="7"/>
      <c r="Q168" s="7"/>
      <c r="U168" s="6"/>
    </row>
    <row r="169" spans="13:21" ht="12.75" customHeight="1" x14ac:dyDescent="0.2">
      <c r="M169" s="7"/>
      <c r="Q169" s="7"/>
      <c r="U169" s="6"/>
    </row>
    <row r="170" spans="13:21" ht="12.75" customHeight="1" x14ac:dyDescent="0.2">
      <c r="M170" s="7"/>
      <c r="Q170" s="7"/>
      <c r="U170" s="6"/>
    </row>
    <row r="171" spans="13:21" ht="12.75" customHeight="1" x14ac:dyDescent="0.2">
      <c r="M171" s="7"/>
      <c r="Q171" s="7"/>
      <c r="U171" s="6"/>
    </row>
    <row r="172" spans="13:21" ht="12.75" customHeight="1" x14ac:dyDescent="0.2">
      <c r="M172" s="7"/>
      <c r="Q172" s="7"/>
      <c r="U172" s="6"/>
    </row>
    <row r="173" spans="13:21" ht="12.75" customHeight="1" x14ac:dyDescent="0.2">
      <c r="M173" s="7"/>
      <c r="Q173" s="7"/>
      <c r="U173" s="6"/>
    </row>
    <row r="174" spans="13:21" ht="12.75" customHeight="1" x14ac:dyDescent="0.2">
      <c r="M174" s="7"/>
      <c r="Q174" s="7"/>
      <c r="U174" s="6"/>
    </row>
    <row r="175" spans="13:21" ht="12.75" customHeight="1" x14ac:dyDescent="0.2">
      <c r="M175" s="7"/>
      <c r="Q175" s="7"/>
      <c r="U175" s="6"/>
    </row>
    <row r="176" spans="13:21" ht="12.75" customHeight="1" x14ac:dyDescent="0.2">
      <c r="M176" s="7"/>
      <c r="Q176" s="7"/>
      <c r="U176" s="6"/>
    </row>
    <row r="177" spans="13:21" ht="12.75" customHeight="1" x14ac:dyDescent="0.2">
      <c r="M177" s="7"/>
      <c r="Q177" s="7"/>
      <c r="U177" s="6"/>
    </row>
    <row r="178" spans="13:21" ht="12.75" customHeight="1" x14ac:dyDescent="0.2">
      <c r="M178" s="7"/>
      <c r="Q178" s="7"/>
      <c r="U178" s="6"/>
    </row>
    <row r="179" spans="13:21" ht="12.75" customHeight="1" x14ac:dyDescent="0.2">
      <c r="M179" s="7"/>
      <c r="Q179" s="7"/>
      <c r="U179" s="6"/>
    </row>
    <row r="180" spans="13:21" ht="12.75" customHeight="1" x14ac:dyDescent="0.2">
      <c r="M180" s="7"/>
      <c r="Q180" s="7"/>
      <c r="U180" s="6"/>
    </row>
    <row r="181" spans="13:21" ht="12.75" customHeight="1" x14ac:dyDescent="0.2">
      <c r="M181" s="7"/>
      <c r="Q181" s="7"/>
      <c r="U181" s="6"/>
    </row>
    <row r="182" spans="13:21" ht="12.75" customHeight="1" x14ac:dyDescent="0.2">
      <c r="M182" s="7"/>
      <c r="Q182" s="7"/>
      <c r="U182" s="6"/>
    </row>
    <row r="183" spans="13:21" ht="12.75" customHeight="1" x14ac:dyDescent="0.2">
      <c r="M183" s="7"/>
      <c r="Q183" s="7"/>
      <c r="U183" s="6"/>
    </row>
    <row r="184" spans="13:21" ht="12.75" customHeight="1" x14ac:dyDescent="0.2">
      <c r="M184" s="7"/>
      <c r="Q184" s="7"/>
      <c r="U184" s="6"/>
    </row>
    <row r="185" spans="13:21" ht="12.75" customHeight="1" x14ac:dyDescent="0.2">
      <c r="M185" s="7"/>
      <c r="Q185" s="7"/>
      <c r="U185" s="6"/>
    </row>
    <row r="186" spans="13:21" ht="12.75" customHeight="1" x14ac:dyDescent="0.2">
      <c r="M186" s="7"/>
      <c r="Q186" s="7"/>
      <c r="U186" s="6"/>
    </row>
    <row r="187" spans="13:21" ht="12.75" customHeight="1" x14ac:dyDescent="0.2">
      <c r="M187" s="7"/>
      <c r="Q187" s="7"/>
      <c r="U187" s="6"/>
    </row>
    <row r="188" spans="13:21" ht="12.75" customHeight="1" x14ac:dyDescent="0.2">
      <c r="M188" s="7"/>
      <c r="Q188" s="7"/>
      <c r="U188" s="6"/>
    </row>
    <row r="189" spans="13:21" ht="12.75" customHeight="1" x14ac:dyDescent="0.2">
      <c r="M189" s="7"/>
      <c r="Q189" s="7"/>
      <c r="U189" s="6"/>
    </row>
    <row r="190" spans="13:21" ht="12.75" customHeight="1" x14ac:dyDescent="0.2">
      <c r="M190" s="7"/>
      <c r="Q190" s="7"/>
      <c r="U190" s="6"/>
    </row>
    <row r="191" spans="13:21" ht="12.75" customHeight="1" x14ac:dyDescent="0.2">
      <c r="M191" s="7"/>
      <c r="Q191" s="7"/>
      <c r="U191" s="6"/>
    </row>
    <row r="192" spans="13:21" ht="12.75" customHeight="1" x14ac:dyDescent="0.2">
      <c r="M192" s="7"/>
      <c r="Q192" s="7"/>
      <c r="U192" s="6"/>
    </row>
    <row r="193" spans="13:21" ht="12.75" customHeight="1" x14ac:dyDescent="0.2">
      <c r="M193" s="7"/>
      <c r="Q193" s="7"/>
      <c r="U193" s="6"/>
    </row>
    <row r="194" spans="13:21" ht="12.75" customHeight="1" x14ac:dyDescent="0.2">
      <c r="M194" s="7"/>
      <c r="Q194" s="7"/>
      <c r="U194" s="6"/>
    </row>
    <row r="195" spans="13:21" ht="12.75" customHeight="1" x14ac:dyDescent="0.2">
      <c r="M195" s="7"/>
      <c r="Q195" s="7"/>
      <c r="U195" s="6"/>
    </row>
    <row r="196" spans="13:21" ht="12.75" customHeight="1" x14ac:dyDescent="0.2">
      <c r="M196" s="7"/>
      <c r="Q196" s="7"/>
      <c r="U196" s="6"/>
    </row>
    <row r="197" spans="13:21" ht="12.75" customHeight="1" x14ac:dyDescent="0.2">
      <c r="M197" s="7"/>
      <c r="Q197" s="7"/>
      <c r="U197" s="6"/>
    </row>
    <row r="198" spans="13:21" ht="12.75" customHeight="1" x14ac:dyDescent="0.2">
      <c r="M198" s="7"/>
      <c r="Q198" s="7"/>
      <c r="U198" s="6"/>
    </row>
    <row r="199" spans="13:21" ht="12.75" customHeight="1" x14ac:dyDescent="0.2">
      <c r="M199" s="7"/>
      <c r="Q199" s="7"/>
      <c r="U199" s="6"/>
    </row>
    <row r="200" spans="13:21" ht="12.75" customHeight="1" x14ac:dyDescent="0.2">
      <c r="M200" s="7"/>
      <c r="Q200" s="7"/>
      <c r="U200" s="6"/>
    </row>
    <row r="201" spans="13:21" ht="12.75" customHeight="1" x14ac:dyDescent="0.2">
      <c r="M201" s="7"/>
      <c r="Q201" s="7"/>
      <c r="U201" s="6"/>
    </row>
    <row r="202" spans="13:21" ht="12.75" customHeight="1" x14ac:dyDescent="0.2">
      <c r="M202" s="7"/>
      <c r="Q202" s="7"/>
      <c r="U202" s="6"/>
    </row>
    <row r="203" spans="13:21" ht="12.75" customHeight="1" x14ac:dyDescent="0.2">
      <c r="M203" s="7"/>
      <c r="Q203" s="7"/>
      <c r="U203" s="6"/>
    </row>
    <row r="204" spans="13:21" ht="12.75" customHeight="1" x14ac:dyDescent="0.2">
      <c r="M204" s="7"/>
      <c r="Q204" s="7"/>
      <c r="U204" s="6"/>
    </row>
    <row r="205" spans="13:21" ht="12.75" customHeight="1" x14ac:dyDescent="0.2">
      <c r="M205" s="7"/>
      <c r="Q205" s="7"/>
      <c r="U205" s="6"/>
    </row>
    <row r="206" spans="13:21" ht="12.75" customHeight="1" x14ac:dyDescent="0.2">
      <c r="M206" s="7"/>
      <c r="Q206" s="7"/>
      <c r="U206" s="6"/>
    </row>
    <row r="207" spans="13:21" ht="12.75" customHeight="1" x14ac:dyDescent="0.2">
      <c r="M207" s="7"/>
      <c r="Q207" s="7"/>
      <c r="U207" s="6"/>
    </row>
    <row r="208" spans="13:21" ht="12.75" customHeight="1" x14ac:dyDescent="0.2">
      <c r="M208" s="7"/>
      <c r="Q208" s="7"/>
      <c r="U208" s="6"/>
    </row>
    <row r="209" spans="13:21" ht="12.75" customHeight="1" x14ac:dyDescent="0.2">
      <c r="M209" s="7"/>
      <c r="Q209" s="7"/>
      <c r="U209" s="6"/>
    </row>
    <row r="210" spans="13:21" ht="12.75" customHeight="1" x14ac:dyDescent="0.2">
      <c r="M210" s="7"/>
      <c r="Q210" s="7"/>
      <c r="U210" s="6"/>
    </row>
    <row r="211" spans="13:21" ht="12.75" customHeight="1" x14ac:dyDescent="0.2">
      <c r="M211" s="7"/>
      <c r="Q211" s="7"/>
      <c r="U211" s="6"/>
    </row>
    <row r="212" spans="13:21" ht="12.75" customHeight="1" x14ac:dyDescent="0.2">
      <c r="M212" s="7"/>
      <c r="Q212" s="7"/>
      <c r="U212" s="6"/>
    </row>
    <row r="213" spans="13:21" ht="12.75" customHeight="1" x14ac:dyDescent="0.2">
      <c r="M213" s="7"/>
      <c r="Q213" s="7"/>
      <c r="U213" s="6"/>
    </row>
    <row r="214" spans="13:21" ht="12.75" customHeight="1" x14ac:dyDescent="0.2">
      <c r="M214" s="7"/>
      <c r="Q214" s="7"/>
      <c r="U214" s="6"/>
    </row>
    <row r="215" spans="13:21" ht="12.75" customHeight="1" x14ac:dyDescent="0.2">
      <c r="M215" s="7"/>
      <c r="Q215" s="7"/>
      <c r="U215" s="6"/>
    </row>
    <row r="216" spans="13:21" ht="12.75" customHeight="1" x14ac:dyDescent="0.2">
      <c r="M216" s="7"/>
      <c r="Q216" s="7"/>
      <c r="U216" s="6"/>
    </row>
    <row r="217" spans="13:21" ht="12.75" customHeight="1" x14ac:dyDescent="0.2">
      <c r="M217" s="7"/>
      <c r="Q217" s="7"/>
      <c r="U217" s="6"/>
    </row>
    <row r="218" spans="13:21" ht="12.75" customHeight="1" x14ac:dyDescent="0.2">
      <c r="M218" s="7"/>
      <c r="Q218" s="7"/>
      <c r="U218" s="6"/>
    </row>
    <row r="219" spans="13:21" ht="12.75" customHeight="1" x14ac:dyDescent="0.2">
      <c r="M219" s="7"/>
      <c r="Q219" s="7"/>
      <c r="U219" s="6"/>
    </row>
    <row r="220" spans="13:21" ht="12.75" customHeight="1" x14ac:dyDescent="0.2">
      <c r="M220" s="7"/>
      <c r="Q220" s="7"/>
      <c r="U220" s="6"/>
    </row>
    <row r="221" spans="13:21" ht="12.75" customHeight="1" x14ac:dyDescent="0.2">
      <c r="M221" s="7"/>
      <c r="Q221" s="7"/>
      <c r="U221" s="6"/>
    </row>
    <row r="222" spans="13:21" ht="12.75" customHeight="1" x14ac:dyDescent="0.2">
      <c r="M222" s="7"/>
      <c r="Q222" s="7"/>
      <c r="U222" s="6"/>
    </row>
    <row r="223" spans="13:21" ht="12.75" customHeight="1" x14ac:dyDescent="0.2">
      <c r="M223" s="7"/>
      <c r="Q223" s="7"/>
      <c r="U223" s="6"/>
    </row>
    <row r="224" spans="13:21" ht="12.75" customHeight="1" x14ac:dyDescent="0.2">
      <c r="M224" s="7"/>
      <c r="Q224" s="7"/>
      <c r="U224" s="6"/>
    </row>
    <row r="225" spans="13:21" ht="12.75" customHeight="1" x14ac:dyDescent="0.2">
      <c r="M225" s="7"/>
      <c r="Q225" s="7"/>
      <c r="U225" s="6"/>
    </row>
    <row r="226" spans="13:21" ht="12.75" customHeight="1" x14ac:dyDescent="0.2">
      <c r="M226" s="7"/>
      <c r="Q226" s="7"/>
      <c r="U226" s="6"/>
    </row>
    <row r="227" spans="13:21" ht="12.75" customHeight="1" x14ac:dyDescent="0.2">
      <c r="M227" s="7"/>
      <c r="Q227" s="7"/>
      <c r="U227" s="6"/>
    </row>
    <row r="228" spans="13:21" ht="12.75" customHeight="1" x14ac:dyDescent="0.2">
      <c r="M228" s="7"/>
      <c r="Q228" s="7"/>
      <c r="U228" s="6"/>
    </row>
    <row r="229" spans="13:21" ht="12.75" customHeight="1" x14ac:dyDescent="0.2">
      <c r="M229" s="7"/>
      <c r="Q229" s="7"/>
      <c r="U229" s="6"/>
    </row>
    <row r="230" spans="13:21" ht="12.75" customHeight="1" x14ac:dyDescent="0.2">
      <c r="M230" s="7"/>
      <c r="Q230" s="7"/>
      <c r="U230" s="6"/>
    </row>
    <row r="231" spans="13:21" ht="12.75" customHeight="1" x14ac:dyDescent="0.2">
      <c r="M231" s="7"/>
      <c r="Q231" s="7"/>
      <c r="U231" s="6"/>
    </row>
    <row r="232" spans="13:21" ht="12.75" customHeight="1" x14ac:dyDescent="0.2">
      <c r="M232" s="7"/>
      <c r="Q232" s="7"/>
      <c r="U232" s="6"/>
    </row>
    <row r="233" spans="13:21" ht="12.75" customHeight="1" x14ac:dyDescent="0.2">
      <c r="M233" s="7"/>
      <c r="Q233" s="7"/>
      <c r="U233" s="6"/>
    </row>
    <row r="234" spans="13:21" ht="12.75" customHeight="1" x14ac:dyDescent="0.2">
      <c r="M234" s="7"/>
      <c r="Q234" s="7"/>
      <c r="U234" s="6"/>
    </row>
    <row r="235" spans="13:21" ht="12.75" customHeight="1" x14ac:dyDescent="0.2">
      <c r="M235" s="7"/>
      <c r="Q235" s="7"/>
      <c r="U235" s="6"/>
    </row>
    <row r="236" spans="13:21" ht="12.75" customHeight="1" x14ac:dyDescent="0.2">
      <c r="M236" s="7"/>
      <c r="Q236" s="7"/>
      <c r="U236" s="6"/>
    </row>
    <row r="237" spans="13:21" ht="12.75" customHeight="1" x14ac:dyDescent="0.2">
      <c r="M237" s="7"/>
      <c r="Q237" s="7"/>
      <c r="U237" s="6"/>
    </row>
    <row r="238" spans="13:21" ht="12.75" customHeight="1" x14ac:dyDescent="0.2">
      <c r="M238" s="7"/>
      <c r="Q238" s="7"/>
      <c r="U238" s="6"/>
    </row>
    <row r="239" spans="13:21" ht="12.75" customHeight="1" x14ac:dyDescent="0.2">
      <c r="M239" s="7"/>
      <c r="Q239" s="7"/>
      <c r="U239" s="6"/>
    </row>
    <row r="240" spans="13:21" ht="12.75" customHeight="1" x14ac:dyDescent="0.2">
      <c r="M240" s="7"/>
      <c r="Q240" s="7"/>
      <c r="U240" s="6"/>
    </row>
    <row r="241" spans="13:21" ht="12.75" customHeight="1" x14ac:dyDescent="0.2">
      <c r="M241" s="7"/>
      <c r="Q241" s="7"/>
      <c r="U241" s="6"/>
    </row>
    <row r="242" spans="13:21" ht="12.75" customHeight="1" x14ac:dyDescent="0.2">
      <c r="M242" s="7"/>
      <c r="Q242" s="7"/>
      <c r="U242" s="6"/>
    </row>
    <row r="243" spans="13:21" ht="12.75" customHeight="1" x14ac:dyDescent="0.2">
      <c r="M243" s="7"/>
      <c r="Q243" s="7"/>
      <c r="U243" s="6"/>
    </row>
    <row r="244" spans="13:21" ht="12.75" customHeight="1" x14ac:dyDescent="0.2">
      <c r="M244" s="7"/>
      <c r="Q244" s="7"/>
      <c r="U244" s="6"/>
    </row>
    <row r="245" spans="13:21" ht="12.75" customHeight="1" x14ac:dyDescent="0.2">
      <c r="M245" s="7"/>
      <c r="Q245" s="7"/>
      <c r="U245" s="6"/>
    </row>
    <row r="246" spans="13:21" ht="12.75" customHeight="1" x14ac:dyDescent="0.2">
      <c r="M246" s="7"/>
      <c r="Q246" s="7"/>
      <c r="U246" s="6"/>
    </row>
    <row r="247" spans="13:21" ht="12.75" customHeight="1" x14ac:dyDescent="0.2">
      <c r="M247" s="7"/>
      <c r="Q247" s="7"/>
      <c r="U247" s="6"/>
    </row>
    <row r="248" spans="13:21" ht="12.75" customHeight="1" x14ac:dyDescent="0.2">
      <c r="M248" s="7"/>
      <c r="Q248" s="7"/>
      <c r="U248" s="6"/>
    </row>
    <row r="249" spans="13:21" ht="12.75" customHeight="1" x14ac:dyDescent="0.2">
      <c r="M249" s="7"/>
      <c r="Q249" s="7"/>
      <c r="U249" s="6"/>
    </row>
    <row r="250" spans="13:21" ht="12.75" customHeight="1" x14ac:dyDescent="0.2">
      <c r="M250" s="7"/>
      <c r="Q250" s="7"/>
      <c r="U250" s="6"/>
    </row>
    <row r="251" spans="13:21" ht="12.75" customHeight="1" x14ac:dyDescent="0.2">
      <c r="M251" s="7"/>
      <c r="Q251" s="7"/>
      <c r="U251" s="6"/>
    </row>
    <row r="252" spans="13:21" ht="12.75" customHeight="1" x14ac:dyDescent="0.2">
      <c r="M252" s="7"/>
      <c r="Q252" s="7"/>
      <c r="U252" s="6"/>
    </row>
    <row r="253" spans="13:21" ht="12.75" customHeight="1" x14ac:dyDescent="0.2">
      <c r="M253" s="7"/>
      <c r="Q253" s="7"/>
      <c r="U253" s="6"/>
    </row>
    <row r="254" spans="13:21" ht="12.75" customHeight="1" x14ac:dyDescent="0.2">
      <c r="M254" s="7"/>
      <c r="Q254" s="7"/>
      <c r="U254" s="6"/>
    </row>
    <row r="255" spans="13:21" ht="12.75" customHeight="1" x14ac:dyDescent="0.2">
      <c r="M255" s="7"/>
      <c r="Q255" s="7"/>
      <c r="U255" s="6"/>
    </row>
    <row r="256" spans="13:21" ht="12.75" customHeight="1" x14ac:dyDescent="0.2">
      <c r="M256" s="7"/>
      <c r="Q256" s="7"/>
      <c r="U256" s="6"/>
    </row>
    <row r="257" spans="13:21" ht="12.75" customHeight="1" x14ac:dyDescent="0.2">
      <c r="M257" s="7"/>
      <c r="Q257" s="7"/>
      <c r="U257" s="6"/>
    </row>
    <row r="258" spans="13:21" ht="12.75" customHeight="1" x14ac:dyDescent="0.2">
      <c r="M258" s="7"/>
      <c r="Q258" s="7"/>
      <c r="U258" s="6"/>
    </row>
    <row r="259" spans="13:21" ht="12.75" customHeight="1" x14ac:dyDescent="0.2">
      <c r="M259" s="7"/>
      <c r="Q259" s="7"/>
      <c r="U259" s="6"/>
    </row>
    <row r="260" spans="13:21" ht="12.75" customHeight="1" x14ac:dyDescent="0.2">
      <c r="M260" s="7"/>
      <c r="Q260" s="7"/>
      <c r="U260" s="6"/>
    </row>
    <row r="261" spans="13:21" ht="12.75" customHeight="1" x14ac:dyDescent="0.2">
      <c r="M261" s="7"/>
      <c r="Q261" s="7"/>
      <c r="U261" s="6"/>
    </row>
    <row r="262" spans="13:21" ht="12.75" customHeight="1" x14ac:dyDescent="0.2">
      <c r="M262" s="7"/>
      <c r="Q262" s="7"/>
      <c r="U262" s="6"/>
    </row>
    <row r="263" spans="13:21" ht="12.75" customHeight="1" x14ac:dyDescent="0.2">
      <c r="M263" s="7"/>
      <c r="Q263" s="7"/>
      <c r="U263" s="6"/>
    </row>
    <row r="264" spans="13:21" ht="12.75" customHeight="1" x14ac:dyDescent="0.2">
      <c r="M264" s="7"/>
      <c r="Q264" s="7"/>
      <c r="U264" s="6"/>
    </row>
    <row r="265" spans="13:21" ht="12.75" customHeight="1" x14ac:dyDescent="0.2">
      <c r="M265" s="7"/>
      <c r="Q265" s="7"/>
      <c r="U265" s="6"/>
    </row>
    <row r="266" spans="13:21" ht="12.75" customHeight="1" x14ac:dyDescent="0.2">
      <c r="M266" s="7"/>
      <c r="Q266" s="7"/>
      <c r="U266" s="6"/>
    </row>
    <row r="267" spans="13:21" ht="12.75" customHeight="1" x14ac:dyDescent="0.2">
      <c r="M267" s="7"/>
      <c r="Q267" s="7"/>
      <c r="U267" s="6"/>
    </row>
    <row r="268" spans="13:21" ht="12.75" customHeight="1" x14ac:dyDescent="0.2">
      <c r="M268" s="7"/>
      <c r="Q268" s="7"/>
      <c r="U268" s="6"/>
    </row>
    <row r="269" spans="13:21" ht="12.75" customHeight="1" x14ac:dyDescent="0.2">
      <c r="M269" s="7"/>
      <c r="Q269" s="7"/>
      <c r="U269" s="6"/>
    </row>
    <row r="270" spans="13:21" ht="12.75" customHeight="1" x14ac:dyDescent="0.2">
      <c r="M270" s="7"/>
      <c r="Q270" s="7"/>
      <c r="U270" s="6"/>
    </row>
    <row r="271" spans="13:21" ht="12.75" customHeight="1" x14ac:dyDescent="0.2">
      <c r="M271" s="7"/>
      <c r="Q271" s="7"/>
      <c r="U271" s="6"/>
    </row>
    <row r="272" spans="13:21" ht="12.75" customHeight="1" x14ac:dyDescent="0.2">
      <c r="M272" s="7"/>
      <c r="Q272" s="7"/>
      <c r="U272" s="6"/>
    </row>
    <row r="273" spans="13:21" ht="12.75" customHeight="1" x14ac:dyDescent="0.2">
      <c r="M273" s="7"/>
      <c r="Q273" s="7"/>
      <c r="U273" s="6"/>
    </row>
    <row r="274" spans="13:21" ht="12.75" customHeight="1" x14ac:dyDescent="0.2">
      <c r="M274" s="7"/>
      <c r="Q274" s="7"/>
      <c r="U274" s="6"/>
    </row>
    <row r="275" spans="13:21" ht="12.75" customHeight="1" x14ac:dyDescent="0.2">
      <c r="M275" s="7"/>
      <c r="Q275" s="7"/>
      <c r="U275" s="6"/>
    </row>
    <row r="276" spans="13:21" ht="12.75" customHeight="1" x14ac:dyDescent="0.2">
      <c r="M276" s="7"/>
      <c r="Q276" s="7"/>
      <c r="U276" s="6"/>
    </row>
    <row r="277" spans="13:21" ht="12.75" customHeight="1" x14ac:dyDescent="0.2">
      <c r="M277" s="7"/>
      <c r="Q277" s="7"/>
      <c r="U277" s="6"/>
    </row>
    <row r="278" spans="13:21" ht="12.75" customHeight="1" x14ac:dyDescent="0.2">
      <c r="M278" s="7"/>
      <c r="Q278" s="7"/>
      <c r="U278" s="6"/>
    </row>
    <row r="279" spans="13:21" ht="12.75" customHeight="1" x14ac:dyDescent="0.2">
      <c r="M279" s="7"/>
      <c r="Q279" s="7"/>
      <c r="U279" s="6"/>
    </row>
    <row r="280" spans="13:21" ht="12.75" customHeight="1" x14ac:dyDescent="0.2">
      <c r="M280" s="7"/>
      <c r="Q280" s="7"/>
      <c r="U280" s="6"/>
    </row>
    <row r="281" spans="13:21" ht="12.75" customHeight="1" x14ac:dyDescent="0.2">
      <c r="M281" s="7"/>
      <c r="Q281" s="7"/>
      <c r="U281" s="6"/>
    </row>
    <row r="282" spans="13:21" ht="12.75" customHeight="1" x14ac:dyDescent="0.2">
      <c r="M282" s="7"/>
      <c r="Q282" s="7"/>
      <c r="U282" s="6"/>
    </row>
    <row r="283" spans="13:21" ht="12.75" customHeight="1" x14ac:dyDescent="0.2">
      <c r="M283" s="7"/>
      <c r="Q283" s="7"/>
      <c r="U283" s="6"/>
    </row>
    <row r="284" spans="13:21" ht="12.75" customHeight="1" x14ac:dyDescent="0.2">
      <c r="M284" s="7"/>
      <c r="Q284" s="7"/>
      <c r="U284" s="6"/>
    </row>
    <row r="285" spans="13:21" ht="12.75" customHeight="1" x14ac:dyDescent="0.2">
      <c r="M285" s="7"/>
      <c r="Q285" s="7"/>
      <c r="U285" s="6"/>
    </row>
    <row r="286" spans="13:21" ht="12.75" customHeight="1" x14ac:dyDescent="0.2">
      <c r="M286" s="7"/>
      <c r="Q286" s="7"/>
      <c r="U286" s="6"/>
    </row>
    <row r="287" spans="13:21" ht="12.75" customHeight="1" x14ac:dyDescent="0.2">
      <c r="M287" s="7"/>
      <c r="Q287" s="7"/>
      <c r="U287" s="6"/>
    </row>
    <row r="288" spans="13:21" ht="12.75" customHeight="1" x14ac:dyDescent="0.2">
      <c r="M288" s="7"/>
      <c r="Q288" s="7"/>
      <c r="U288" s="6"/>
    </row>
    <row r="289" spans="13:21" ht="12.75" customHeight="1" x14ac:dyDescent="0.2">
      <c r="M289" s="7"/>
      <c r="Q289" s="7"/>
      <c r="U289" s="6"/>
    </row>
    <row r="290" spans="13:21" ht="12.75" customHeight="1" x14ac:dyDescent="0.2">
      <c r="M290" s="7"/>
      <c r="Q290" s="7"/>
      <c r="U290" s="6"/>
    </row>
    <row r="291" spans="13:21" ht="12.75" customHeight="1" x14ac:dyDescent="0.2">
      <c r="M291" s="7"/>
      <c r="Q291" s="7"/>
      <c r="U291" s="6"/>
    </row>
    <row r="292" spans="13:21" ht="12.75" customHeight="1" x14ac:dyDescent="0.2">
      <c r="M292" s="7"/>
      <c r="Q292" s="7"/>
      <c r="U292" s="6"/>
    </row>
    <row r="293" spans="13:21" ht="12.75" customHeight="1" x14ac:dyDescent="0.2">
      <c r="M293" s="7"/>
      <c r="Q293" s="7"/>
      <c r="U293" s="6"/>
    </row>
    <row r="294" spans="13:21" ht="12.75" customHeight="1" x14ac:dyDescent="0.2">
      <c r="M294" s="7"/>
      <c r="Q294" s="7"/>
      <c r="U294" s="6"/>
    </row>
    <row r="295" spans="13:21" ht="12.75" customHeight="1" x14ac:dyDescent="0.2">
      <c r="M295" s="7"/>
      <c r="Q295" s="7"/>
      <c r="U295" s="6"/>
    </row>
    <row r="296" spans="13:21" ht="12.75" customHeight="1" x14ac:dyDescent="0.2">
      <c r="M296" s="7"/>
      <c r="Q296" s="7"/>
      <c r="U296" s="6"/>
    </row>
    <row r="297" spans="13:21" ht="12.75" customHeight="1" x14ac:dyDescent="0.2">
      <c r="M297" s="7"/>
      <c r="Q297" s="7"/>
      <c r="U297" s="6"/>
    </row>
    <row r="298" spans="13:21" ht="12.75" customHeight="1" x14ac:dyDescent="0.2">
      <c r="M298" s="7"/>
      <c r="Q298" s="7"/>
      <c r="U298" s="6"/>
    </row>
    <row r="299" spans="13:21" ht="12.75" customHeight="1" x14ac:dyDescent="0.2">
      <c r="M299" s="7"/>
      <c r="Q299" s="7"/>
      <c r="U299" s="6"/>
    </row>
    <row r="300" spans="13:21" ht="12.75" customHeight="1" x14ac:dyDescent="0.2">
      <c r="M300" s="7"/>
      <c r="Q300" s="7"/>
      <c r="U300" s="6"/>
    </row>
    <row r="301" spans="13:21" ht="12.75" customHeight="1" x14ac:dyDescent="0.2">
      <c r="M301" s="7"/>
      <c r="Q301" s="7"/>
      <c r="U301" s="6"/>
    </row>
    <row r="302" spans="13:21" ht="12.75" customHeight="1" x14ac:dyDescent="0.2">
      <c r="M302" s="7"/>
      <c r="Q302" s="7"/>
      <c r="U302" s="6"/>
    </row>
    <row r="303" spans="13:21" ht="12.75" customHeight="1" x14ac:dyDescent="0.2">
      <c r="M303" s="7"/>
      <c r="Q303" s="7"/>
      <c r="U303" s="6"/>
    </row>
    <row r="304" spans="13:21" ht="12.75" customHeight="1" x14ac:dyDescent="0.2">
      <c r="M304" s="7"/>
      <c r="Q304" s="7"/>
      <c r="U304" s="6"/>
    </row>
    <row r="305" spans="13:21" ht="12.75" customHeight="1" x14ac:dyDescent="0.2">
      <c r="M305" s="7"/>
      <c r="Q305" s="7"/>
      <c r="U305" s="6"/>
    </row>
    <row r="306" spans="13:21" ht="12.75" customHeight="1" x14ac:dyDescent="0.2">
      <c r="M306" s="7"/>
      <c r="Q306" s="7"/>
      <c r="U306" s="6"/>
    </row>
    <row r="307" spans="13:21" ht="12.75" customHeight="1" x14ac:dyDescent="0.2">
      <c r="M307" s="7"/>
      <c r="Q307" s="7"/>
      <c r="U307" s="6"/>
    </row>
    <row r="308" spans="13:21" ht="12.75" customHeight="1" x14ac:dyDescent="0.2">
      <c r="M308" s="7"/>
      <c r="Q308" s="7"/>
      <c r="U308" s="6"/>
    </row>
    <row r="309" spans="13:21" ht="12.75" customHeight="1" x14ac:dyDescent="0.2">
      <c r="M309" s="7"/>
      <c r="Q309" s="7"/>
      <c r="U309" s="6"/>
    </row>
    <row r="310" spans="13:21" ht="12.75" customHeight="1" x14ac:dyDescent="0.2">
      <c r="M310" s="7"/>
      <c r="Q310" s="7"/>
      <c r="U310" s="6"/>
    </row>
    <row r="311" spans="13:21" ht="12.75" customHeight="1" x14ac:dyDescent="0.2">
      <c r="M311" s="7"/>
      <c r="Q311" s="7"/>
      <c r="U311" s="6"/>
    </row>
    <row r="312" spans="13:21" ht="12.75" customHeight="1" x14ac:dyDescent="0.2">
      <c r="M312" s="7"/>
      <c r="Q312" s="7"/>
      <c r="U312" s="6"/>
    </row>
    <row r="313" spans="13:21" ht="12.75" customHeight="1" x14ac:dyDescent="0.2">
      <c r="M313" s="7"/>
      <c r="Q313" s="7"/>
      <c r="U313" s="6"/>
    </row>
    <row r="314" spans="13:21" ht="12.75" customHeight="1" x14ac:dyDescent="0.2">
      <c r="M314" s="7"/>
      <c r="Q314" s="7"/>
      <c r="U314" s="6"/>
    </row>
    <row r="315" spans="13:21" ht="12.75" customHeight="1" x14ac:dyDescent="0.2">
      <c r="M315" s="7"/>
      <c r="Q315" s="7"/>
      <c r="U315" s="6"/>
    </row>
    <row r="316" spans="13:21" ht="12.75" customHeight="1" x14ac:dyDescent="0.2">
      <c r="M316" s="7"/>
      <c r="Q316" s="7"/>
      <c r="U316" s="6"/>
    </row>
    <row r="317" spans="13:21" ht="12.75" customHeight="1" x14ac:dyDescent="0.2">
      <c r="M317" s="7"/>
      <c r="Q317" s="7"/>
      <c r="U317" s="6"/>
    </row>
    <row r="318" spans="13:21" ht="12.75" customHeight="1" x14ac:dyDescent="0.2">
      <c r="M318" s="7"/>
      <c r="Q318" s="7"/>
      <c r="U318" s="6"/>
    </row>
    <row r="319" spans="13:21" ht="12.75" customHeight="1" x14ac:dyDescent="0.2">
      <c r="M319" s="7"/>
      <c r="Q319" s="7"/>
      <c r="U319" s="6"/>
    </row>
    <row r="320" spans="13:21" ht="12.75" customHeight="1" x14ac:dyDescent="0.2">
      <c r="M320" s="7"/>
      <c r="Q320" s="7"/>
      <c r="U320" s="6"/>
    </row>
    <row r="321" spans="13:21" ht="12.75" customHeight="1" x14ac:dyDescent="0.2">
      <c r="M321" s="7"/>
      <c r="Q321" s="7"/>
      <c r="U321" s="6"/>
    </row>
    <row r="322" spans="13:21" ht="12.75" customHeight="1" x14ac:dyDescent="0.2">
      <c r="M322" s="7"/>
      <c r="Q322" s="7"/>
      <c r="U322" s="6"/>
    </row>
    <row r="323" spans="13:21" ht="12.75" customHeight="1" x14ac:dyDescent="0.2">
      <c r="M323" s="7"/>
      <c r="Q323" s="7"/>
      <c r="U323" s="6"/>
    </row>
    <row r="324" spans="13:21" ht="12.75" customHeight="1" x14ac:dyDescent="0.2">
      <c r="M324" s="7"/>
      <c r="Q324" s="7"/>
      <c r="U324" s="6"/>
    </row>
    <row r="325" spans="13:21" ht="12.75" customHeight="1" x14ac:dyDescent="0.2">
      <c r="M325" s="7"/>
      <c r="Q325" s="7"/>
      <c r="U325" s="6"/>
    </row>
    <row r="326" spans="13:21" ht="12.75" customHeight="1" x14ac:dyDescent="0.2">
      <c r="M326" s="7"/>
      <c r="Q326" s="7"/>
      <c r="U326" s="6"/>
    </row>
    <row r="327" spans="13:21" ht="12.75" customHeight="1" x14ac:dyDescent="0.2">
      <c r="M327" s="7"/>
      <c r="Q327" s="7"/>
      <c r="U327" s="6"/>
    </row>
    <row r="328" spans="13:21" ht="12.75" customHeight="1" x14ac:dyDescent="0.2">
      <c r="M328" s="7"/>
      <c r="Q328" s="7"/>
      <c r="U328" s="6"/>
    </row>
    <row r="329" spans="13:21" ht="12.75" customHeight="1" x14ac:dyDescent="0.2">
      <c r="M329" s="7"/>
      <c r="Q329" s="7"/>
      <c r="U329" s="6"/>
    </row>
    <row r="330" spans="13:21" ht="12.75" customHeight="1" x14ac:dyDescent="0.2">
      <c r="M330" s="7"/>
      <c r="Q330" s="7"/>
      <c r="U330" s="6"/>
    </row>
    <row r="331" spans="13:21" ht="12.75" customHeight="1" x14ac:dyDescent="0.2">
      <c r="M331" s="7"/>
      <c r="Q331" s="7"/>
      <c r="U331" s="6"/>
    </row>
    <row r="332" spans="13:21" ht="12.75" customHeight="1" x14ac:dyDescent="0.2">
      <c r="M332" s="7"/>
      <c r="Q332" s="7"/>
      <c r="U332" s="6"/>
    </row>
    <row r="333" spans="13:21" ht="12.75" customHeight="1" x14ac:dyDescent="0.2">
      <c r="M333" s="7"/>
      <c r="Q333" s="7"/>
      <c r="U333" s="6"/>
    </row>
    <row r="334" spans="13:21" ht="12.75" customHeight="1" x14ac:dyDescent="0.2">
      <c r="M334" s="7"/>
      <c r="Q334" s="7"/>
      <c r="U334" s="6"/>
    </row>
    <row r="335" spans="13:21" ht="12.75" customHeight="1" x14ac:dyDescent="0.2">
      <c r="M335" s="7"/>
      <c r="Q335" s="7"/>
      <c r="U335" s="6"/>
    </row>
    <row r="336" spans="13:21" ht="12.75" customHeight="1" x14ac:dyDescent="0.2">
      <c r="M336" s="7"/>
      <c r="Q336" s="7"/>
      <c r="U336" s="6"/>
    </row>
    <row r="337" spans="13:21" ht="12.75" customHeight="1" x14ac:dyDescent="0.2">
      <c r="M337" s="7"/>
      <c r="Q337" s="7"/>
      <c r="U337" s="6"/>
    </row>
    <row r="338" spans="13:21" ht="12.75" customHeight="1" x14ac:dyDescent="0.2">
      <c r="M338" s="7"/>
      <c r="Q338" s="7"/>
      <c r="U338" s="6"/>
    </row>
    <row r="339" spans="13:21" ht="12.75" customHeight="1" x14ac:dyDescent="0.2">
      <c r="M339" s="7"/>
      <c r="Q339" s="7"/>
      <c r="U339" s="6"/>
    </row>
    <row r="340" spans="13:21" ht="12.75" customHeight="1" x14ac:dyDescent="0.2">
      <c r="M340" s="7"/>
      <c r="Q340" s="7"/>
      <c r="U340" s="6"/>
    </row>
    <row r="341" spans="13:21" ht="12.75" customHeight="1" x14ac:dyDescent="0.2">
      <c r="M341" s="7"/>
      <c r="Q341" s="7"/>
      <c r="U341" s="6"/>
    </row>
    <row r="342" spans="13:21" ht="12.75" customHeight="1" x14ac:dyDescent="0.2">
      <c r="M342" s="7"/>
      <c r="Q342" s="7"/>
      <c r="U342" s="6"/>
    </row>
    <row r="343" spans="13:21" ht="12.75" customHeight="1" x14ac:dyDescent="0.2">
      <c r="M343" s="7"/>
      <c r="Q343" s="7"/>
      <c r="U343" s="6"/>
    </row>
    <row r="344" spans="13:21" ht="12.75" customHeight="1" x14ac:dyDescent="0.2">
      <c r="M344" s="7"/>
      <c r="Q344" s="7"/>
      <c r="U344" s="6"/>
    </row>
    <row r="345" spans="13:21" ht="12.75" customHeight="1" x14ac:dyDescent="0.2">
      <c r="M345" s="7"/>
      <c r="Q345" s="7"/>
      <c r="U345" s="6"/>
    </row>
    <row r="346" spans="13:21" ht="12.75" customHeight="1" x14ac:dyDescent="0.2">
      <c r="M346" s="7"/>
      <c r="Q346" s="7"/>
      <c r="U346" s="6"/>
    </row>
    <row r="347" spans="13:21" ht="12.75" customHeight="1" x14ac:dyDescent="0.2">
      <c r="M347" s="7"/>
      <c r="Q347" s="7"/>
      <c r="U347" s="6"/>
    </row>
    <row r="348" spans="13:21" ht="12.75" customHeight="1" x14ac:dyDescent="0.2">
      <c r="M348" s="7"/>
      <c r="Q348" s="7"/>
      <c r="U348" s="6"/>
    </row>
    <row r="349" spans="13:21" ht="12.75" customHeight="1" x14ac:dyDescent="0.2">
      <c r="M349" s="7"/>
      <c r="Q349" s="7"/>
      <c r="U349" s="6"/>
    </row>
    <row r="350" spans="13:21" ht="12.75" customHeight="1" x14ac:dyDescent="0.2">
      <c r="M350" s="7"/>
      <c r="Q350" s="7"/>
      <c r="U350" s="6"/>
    </row>
    <row r="351" spans="13:21" ht="12.75" customHeight="1" x14ac:dyDescent="0.2">
      <c r="M351" s="7"/>
      <c r="Q351" s="7"/>
      <c r="U351" s="6"/>
    </row>
    <row r="352" spans="13:21" ht="12.75" customHeight="1" x14ac:dyDescent="0.2">
      <c r="M352" s="7"/>
      <c r="Q352" s="7"/>
      <c r="U352" s="6"/>
    </row>
    <row r="353" spans="13:21" ht="12.75" customHeight="1" x14ac:dyDescent="0.2">
      <c r="M353" s="7"/>
      <c r="Q353" s="7"/>
      <c r="U353" s="6"/>
    </row>
    <row r="354" spans="13:21" ht="12.75" customHeight="1" x14ac:dyDescent="0.2">
      <c r="M354" s="7"/>
      <c r="Q354" s="7"/>
      <c r="U354" s="6"/>
    </row>
    <row r="355" spans="13:21" ht="12.75" customHeight="1" x14ac:dyDescent="0.2">
      <c r="M355" s="7"/>
      <c r="Q355" s="7"/>
      <c r="U355" s="6"/>
    </row>
    <row r="356" spans="13:21" ht="12.75" customHeight="1" x14ac:dyDescent="0.2">
      <c r="M356" s="7"/>
      <c r="Q356" s="7"/>
      <c r="U356" s="6"/>
    </row>
    <row r="357" spans="13:21" ht="12.75" customHeight="1" x14ac:dyDescent="0.2">
      <c r="M357" s="7"/>
      <c r="Q357" s="7"/>
      <c r="U357" s="6"/>
    </row>
    <row r="358" spans="13:21" ht="12.75" customHeight="1" x14ac:dyDescent="0.2">
      <c r="M358" s="7"/>
      <c r="Q358" s="7"/>
      <c r="U358" s="6"/>
    </row>
    <row r="359" spans="13:21" ht="12.75" customHeight="1" x14ac:dyDescent="0.2">
      <c r="M359" s="7"/>
      <c r="Q359" s="7"/>
      <c r="U359" s="6"/>
    </row>
    <row r="360" spans="13:21" ht="12.75" customHeight="1" x14ac:dyDescent="0.2">
      <c r="M360" s="7"/>
      <c r="Q360" s="7"/>
      <c r="U360" s="6"/>
    </row>
    <row r="361" spans="13:21" ht="12.75" customHeight="1" x14ac:dyDescent="0.2">
      <c r="M361" s="7"/>
      <c r="Q361" s="7"/>
      <c r="U361" s="6"/>
    </row>
    <row r="362" spans="13:21" ht="12.75" customHeight="1" x14ac:dyDescent="0.2">
      <c r="M362" s="7"/>
      <c r="Q362" s="7"/>
      <c r="U362" s="6"/>
    </row>
    <row r="363" spans="13:21" ht="12.75" customHeight="1" x14ac:dyDescent="0.2">
      <c r="M363" s="7"/>
      <c r="Q363" s="7"/>
      <c r="U363" s="6"/>
    </row>
    <row r="364" spans="13:21" ht="12.75" customHeight="1" x14ac:dyDescent="0.2">
      <c r="M364" s="7"/>
      <c r="Q364" s="7"/>
      <c r="U364" s="6"/>
    </row>
    <row r="365" spans="13:21" ht="12.75" customHeight="1" x14ac:dyDescent="0.2">
      <c r="M365" s="7"/>
      <c r="Q365" s="7"/>
      <c r="U365" s="6"/>
    </row>
    <row r="366" spans="13:21" ht="12.75" customHeight="1" x14ac:dyDescent="0.2">
      <c r="M366" s="7"/>
      <c r="Q366" s="7"/>
      <c r="U366" s="6"/>
    </row>
    <row r="367" spans="13:21" ht="12.75" customHeight="1" x14ac:dyDescent="0.2">
      <c r="M367" s="7"/>
      <c r="Q367" s="7"/>
      <c r="U367" s="6"/>
    </row>
    <row r="368" spans="13:21" ht="12.75" customHeight="1" x14ac:dyDescent="0.2">
      <c r="M368" s="7"/>
      <c r="Q368" s="7"/>
      <c r="U368" s="6"/>
    </row>
    <row r="369" spans="13:21" ht="12.75" customHeight="1" x14ac:dyDescent="0.2">
      <c r="M369" s="7"/>
      <c r="Q369" s="7"/>
      <c r="U369" s="6"/>
    </row>
    <row r="370" spans="13:21" ht="12.75" customHeight="1" x14ac:dyDescent="0.2">
      <c r="M370" s="7"/>
      <c r="Q370" s="7"/>
      <c r="U370" s="6"/>
    </row>
    <row r="371" spans="13:21" ht="12.75" customHeight="1" x14ac:dyDescent="0.2">
      <c r="M371" s="7"/>
      <c r="Q371" s="7"/>
      <c r="U371" s="6"/>
    </row>
    <row r="372" spans="13:21" ht="12.75" customHeight="1" x14ac:dyDescent="0.2">
      <c r="M372" s="7"/>
      <c r="Q372" s="7"/>
      <c r="U372" s="6"/>
    </row>
    <row r="373" spans="13:21" ht="12.75" customHeight="1" x14ac:dyDescent="0.2">
      <c r="M373" s="7"/>
      <c r="Q373" s="7"/>
      <c r="U373" s="6"/>
    </row>
    <row r="374" spans="13:21" ht="12.75" customHeight="1" x14ac:dyDescent="0.2">
      <c r="M374" s="7"/>
      <c r="Q374" s="7"/>
      <c r="U374" s="6"/>
    </row>
    <row r="375" spans="13:21" ht="12.75" customHeight="1" x14ac:dyDescent="0.2">
      <c r="M375" s="7"/>
      <c r="Q375" s="7"/>
      <c r="U375" s="6"/>
    </row>
    <row r="376" spans="13:21" ht="12.75" customHeight="1" x14ac:dyDescent="0.2">
      <c r="M376" s="7"/>
      <c r="Q376" s="7"/>
      <c r="U376" s="6"/>
    </row>
    <row r="377" spans="13:21" ht="12.75" customHeight="1" x14ac:dyDescent="0.2">
      <c r="M377" s="7"/>
      <c r="Q377" s="7"/>
      <c r="U377" s="6"/>
    </row>
    <row r="378" spans="13:21" ht="12.75" customHeight="1" x14ac:dyDescent="0.2">
      <c r="M378" s="7"/>
      <c r="Q378" s="7"/>
      <c r="U378" s="6"/>
    </row>
    <row r="379" spans="13:21" ht="12.75" customHeight="1" x14ac:dyDescent="0.2">
      <c r="M379" s="7"/>
      <c r="Q379" s="7"/>
      <c r="U379" s="6"/>
    </row>
    <row r="380" spans="13:21" ht="12.75" customHeight="1" x14ac:dyDescent="0.2">
      <c r="M380" s="7"/>
      <c r="Q380" s="7"/>
      <c r="U380" s="6"/>
    </row>
    <row r="381" spans="13:21" ht="12.75" customHeight="1" x14ac:dyDescent="0.2">
      <c r="M381" s="7"/>
      <c r="Q381" s="7"/>
      <c r="U381" s="6"/>
    </row>
    <row r="382" spans="13:21" ht="12.75" customHeight="1" x14ac:dyDescent="0.2">
      <c r="M382" s="7"/>
      <c r="Q382" s="7"/>
      <c r="U382" s="6"/>
    </row>
    <row r="383" spans="13:21" ht="12.75" customHeight="1" x14ac:dyDescent="0.2">
      <c r="M383" s="7"/>
      <c r="Q383" s="7"/>
      <c r="U383" s="6"/>
    </row>
    <row r="384" spans="13:21" ht="12.75" customHeight="1" x14ac:dyDescent="0.2">
      <c r="M384" s="7"/>
      <c r="Q384" s="7"/>
      <c r="U384" s="6"/>
    </row>
    <row r="385" spans="13:21" ht="12.75" customHeight="1" x14ac:dyDescent="0.2">
      <c r="M385" s="7"/>
      <c r="Q385" s="7"/>
      <c r="U385" s="6"/>
    </row>
    <row r="386" spans="13:21" ht="12.75" customHeight="1" x14ac:dyDescent="0.2">
      <c r="M386" s="7"/>
      <c r="Q386" s="7"/>
      <c r="U386" s="6"/>
    </row>
    <row r="387" spans="13:21" ht="12.75" customHeight="1" x14ac:dyDescent="0.2">
      <c r="M387" s="7"/>
      <c r="Q387" s="7"/>
      <c r="U387" s="6"/>
    </row>
    <row r="388" spans="13:21" ht="12.75" customHeight="1" x14ac:dyDescent="0.2">
      <c r="M388" s="7"/>
      <c r="Q388" s="7"/>
      <c r="U388" s="6"/>
    </row>
    <row r="389" spans="13:21" ht="12.75" customHeight="1" x14ac:dyDescent="0.2">
      <c r="M389" s="7"/>
      <c r="Q389" s="7"/>
      <c r="U389" s="6"/>
    </row>
    <row r="390" spans="13:21" ht="12.75" customHeight="1" x14ac:dyDescent="0.2">
      <c r="M390" s="7"/>
      <c r="Q390" s="7"/>
      <c r="U390" s="6"/>
    </row>
    <row r="391" spans="13:21" ht="12.75" customHeight="1" x14ac:dyDescent="0.2">
      <c r="M391" s="7"/>
      <c r="Q391" s="7"/>
      <c r="U391" s="6"/>
    </row>
    <row r="392" spans="13:21" ht="12.75" customHeight="1" x14ac:dyDescent="0.2">
      <c r="M392" s="7"/>
      <c r="Q392" s="7"/>
      <c r="U392" s="6"/>
    </row>
    <row r="393" spans="13:21" ht="12.75" customHeight="1" x14ac:dyDescent="0.2">
      <c r="M393" s="7"/>
      <c r="Q393" s="7"/>
      <c r="U393" s="6"/>
    </row>
    <row r="394" spans="13:21" ht="12.75" customHeight="1" x14ac:dyDescent="0.2">
      <c r="M394" s="7"/>
      <c r="Q394" s="7"/>
      <c r="U394" s="6"/>
    </row>
    <row r="395" spans="13:21" ht="12.75" customHeight="1" x14ac:dyDescent="0.2">
      <c r="M395" s="7"/>
      <c r="Q395" s="7"/>
      <c r="U395" s="6"/>
    </row>
    <row r="396" spans="13:21" ht="12.75" customHeight="1" x14ac:dyDescent="0.2">
      <c r="M396" s="7"/>
      <c r="Q396" s="7"/>
      <c r="U396" s="6"/>
    </row>
    <row r="397" spans="13:21" ht="12.75" customHeight="1" x14ac:dyDescent="0.2">
      <c r="M397" s="7"/>
      <c r="Q397" s="7"/>
      <c r="U397" s="6"/>
    </row>
    <row r="398" spans="13:21" ht="12.75" customHeight="1" x14ac:dyDescent="0.2">
      <c r="M398" s="7"/>
      <c r="Q398" s="7"/>
      <c r="U398" s="6"/>
    </row>
    <row r="399" spans="13:21" ht="12.75" customHeight="1" x14ac:dyDescent="0.2">
      <c r="M399" s="7"/>
      <c r="Q399" s="7"/>
      <c r="U399" s="6"/>
    </row>
    <row r="400" spans="13:21" ht="12.75" customHeight="1" x14ac:dyDescent="0.2">
      <c r="M400" s="7"/>
      <c r="Q400" s="7"/>
      <c r="U400" s="6"/>
    </row>
    <row r="401" spans="13:21" ht="12.75" customHeight="1" x14ac:dyDescent="0.2">
      <c r="M401" s="7"/>
      <c r="Q401" s="7"/>
      <c r="U401" s="6"/>
    </row>
    <row r="402" spans="13:21" ht="12.75" customHeight="1" x14ac:dyDescent="0.2">
      <c r="M402" s="7"/>
      <c r="Q402" s="7"/>
      <c r="U402" s="6"/>
    </row>
    <row r="403" spans="13:21" ht="12.75" customHeight="1" x14ac:dyDescent="0.2">
      <c r="M403" s="7"/>
      <c r="Q403" s="7"/>
      <c r="U403" s="6"/>
    </row>
    <row r="404" spans="13:21" ht="12.75" customHeight="1" x14ac:dyDescent="0.2">
      <c r="M404" s="7"/>
      <c r="Q404" s="7"/>
      <c r="U404" s="6"/>
    </row>
    <row r="405" spans="13:21" ht="12.75" customHeight="1" x14ac:dyDescent="0.2">
      <c r="M405" s="7"/>
      <c r="Q405" s="7"/>
      <c r="U405" s="6"/>
    </row>
    <row r="406" spans="13:21" ht="12.75" customHeight="1" x14ac:dyDescent="0.2">
      <c r="M406" s="7"/>
      <c r="Q406" s="7"/>
      <c r="U406" s="6"/>
    </row>
    <row r="407" spans="13:21" ht="12.75" customHeight="1" x14ac:dyDescent="0.2">
      <c r="M407" s="7"/>
      <c r="Q407" s="7"/>
      <c r="U407" s="6"/>
    </row>
    <row r="408" spans="13:21" ht="12.75" customHeight="1" x14ac:dyDescent="0.2">
      <c r="M408" s="7"/>
      <c r="Q408" s="7"/>
      <c r="U408" s="6"/>
    </row>
    <row r="409" spans="13:21" ht="12.75" customHeight="1" x14ac:dyDescent="0.2">
      <c r="M409" s="7"/>
      <c r="Q409" s="7"/>
      <c r="U409" s="6"/>
    </row>
    <row r="410" spans="13:21" ht="12.75" customHeight="1" x14ac:dyDescent="0.2">
      <c r="M410" s="7"/>
      <c r="Q410" s="7"/>
      <c r="U410" s="6"/>
    </row>
    <row r="411" spans="13:21" ht="12.75" customHeight="1" x14ac:dyDescent="0.2">
      <c r="M411" s="7"/>
      <c r="Q411" s="7"/>
      <c r="U411" s="6"/>
    </row>
    <row r="412" spans="13:21" ht="12.75" customHeight="1" x14ac:dyDescent="0.2">
      <c r="M412" s="7"/>
      <c r="Q412" s="7"/>
      <c r="U412" s="6"/>
    </row>
    <row r="413" spans="13:21" ht="12.75" customHeight="1" x14ac:dyDescent="0.2">
      <c r="M413" s="7"/>
      <c r="Q413" s="7"/>
      <c r="U413" s="6"/>
    </row>
    <row r="414" spans="13:21" ht="12.75" customHeight="1" x14ac:dyDescent="0.2">
      <c r="M414" s="7"/>
      <c r="Q414" s="7"/>
      <c r="U414" s="6"/>
    </row>
    <row r="415" spans="13:21" ht="12.75" customHeight="1" x14ac:dyDescent="0.2">
      <c r="M415" s="7"/>
      <c r="Q415" s="7"/>
      <c r="U415" s="6"/>
    </row>
    <row r="416" spans="13:21" ht="12.75" customHeight="1" x14ac:dyDescent="0.2">
      <c r="M416" s="7"/>
      <c r="Q416" s="7"/>
      <c r="U416" s="6"/>
    </row>
    <row r="417" spans="13:21" ht="12.75" customHeight="1" x14ac:dyDescent="0.2">
      <c r="M417" s="7"/>
      <c r="Q417" s="7"/>
      <c r="U417" s="6"/>
    </row>
    <row r="418" spans="13:21" ht="12.75" customHeight="1" x14ac:dyDescent="0.2">
      <c r="M418" s="7"/>
      <c r="Q418" s="7"/>
      <c r="U418" s="6"/>
    </row>
    <row r="419" spans="13:21" ht="12.75" customHeight="1" x14ac:dyDescent="0.2">
      <c r="M419" s="7"/>
      <c r="Q419" s="7"/>
      <c r="U419" s="6"/>
    </row>
    <row r="420" spans="13:21" ht="12.75" customHeight="1" x14ac:dyDescent="0.2">
      <c r="M420" s="7"/>
      <c r="Q420" s="7"/>
      <c r="U420" s="6"/>
    </row>
    <row r="421" spans="13:21" ht="12.75" customHeight="1" x14ac:dyDescent="0.2">
      <c r="M421" s="7"/>
      <c r="Q421" s="7"/>
      <c r="U421" s="6"/>
    </row>
    <row r="422" spans="13:21" ht="12.75" customHeight="1" x14ac:dyDescent="0.2">
      <c r="M422" s="7"/>
      <c r="Q422" s="7"/>
      <c r="U422" s="6"/>
    </row>
    <row r="423" spans="13:21" ht="12.75" customHeight="1" x14ac:dyDescent="0.2">
      <c r="M423" s="7"/>
      <c r="Q423" s="7"/>
      <c r="U423" s="6"/>
    </row>
    <row r="424" spans="13:21" ht="12.75" customHeight="1" x14ac:dyDescent="0.2">
      <c r="M424" s="7"/>
      <c r="Q424" s="7"/>
      <c r="U424" s="6"/>
    </row>
    <row r="425" spans="13:21" ht="12.75" customHeight="1" x14ac:dyDescent="0.2">
      <c r="M425" s="7"/>
      <c r="Q425" s="7"/>
      <c r="U425" s="6"/>
    </row>
    <row r="426" spans="13:21" ht="12.75" customHeight="1" x14ac:dyDescent="0.2">
      <c r="M426" s="7"/>
      <c r="Q426" s="7"/>
      <c r="U426" s="6"/>
    </row>
    <row r="427" spans="13:21" ht="12.75" customHeight="1" x14ac:dyDescent="0.2">
      <c r="M427" s="7"/>
      <c r="Q427" s="7"/>
      <c r="U427" s="6"/>
    </row>
    <row r="428" spans="13:21" ht="12.75" customHeight="1" x14ac:dyDescent="0.2">
      <c r="M428" s="7"/>
      <c r="Q428" s="7"/>
      <c r="U428" s="6"/>
    </row>
    <row r="429" spans="13:21" ht="12.75" customHeight="1" x14ac:dyDescent="0.2">
      <c r="M429" s="7"/>
      <c r="Q429" s="7"/>
      <c r="U429" s="6"/>
    </row>
    <row r="430" spans="13:21" ht="12.75" customHeight="1" x14ac:dyDescent="0.2">
      <c r="M430" s="7"/>
      <c r="Q430" s="7"/>
      <c r="U430" s="6"/>
    </row>
    <row r="431" spans="13:21" ht="12.75" customHeight="1" x14ac:dyDescent="0.2">
      <c r="M431" s="7"/>
      <c r="Q431" s="7"/>
      <c r="U431" s="6"/>
    </row>
    <row r="432" spans="13:21" ht="12.75" customHeight="1" x14ac:dyDescent="0.2">
      <c r="M432" s="7"/>
      <c r="Q432" s="7"/>
      <c r="U432" s="6"/>
    </row>
    <row r="433" spans="13:21" ht="12.75" customHeight="1" x14ac:dyDescent="0.2">
      <c r="M433" s="7"/>
      <c r="Q433" s="7"/>
      <c r="U433" s="6"/>
    </row>
    <row r="434" spans="13:21" ht="12.75" customHeight="1" x14ac:dyDescent="0.2">
      <c r="M434" s="7"/>
      <c r="Q434" s="7"/>
      <c r="U434" s="6"/>
    </row>
    <row r="435" spans="13:21" ht="12.75" customHeight="1" x14ac:dyDescent="0.2">
      <c r="M435" s="7"/>
      <c r="Q435" s="7"/>
      <c r="U435" s="6"/>
    </row>
    <row r="436" spans="13:21" ht="12.75" customHeight="1" x14ac:dyDescent="0.2">
      <c r="M436" s="7"/>
      <c r="Q436" s="7"/>
      <c r="U436" s="6"/>
    </row>
    <row r="437" spans="13:21" ht="12.75" customHeight="1" x14ac:dyDescent="0.2">
      <c r="M437" s="7"/>
      <c r="Q437" s="7"/>
      <c r="U437" s="6"/>
    </row>
    <row r="438" spans="13:21" ht="12.75" customHeight="1" x14ac:dyDescent="0.2">
      <c r="M438" s="7"/>
      <c r="Q438" s="7"/>
      <c r="U438" s="6"/>
    </row>
    <row r="439" spans="13:21" ht="12.75" customHeight="1" x14ac:dyDescent="0.2">
      <c r="M439" s="7"/>
      <c r="Q439" s="7"/>
      <c r="U439" s="6"/>
    </row>
    <row r="440" spans="13:21" ht="12.75" customHeight="1" x14ac:dyDescent="0.2">
      <c r="M440" s="7"/>
      <c r="Q440" s="7"/>
      <c r="U440" s="6"/>
    </row>
    <row r="441" spans="13:21" ht="12.75" customHeight="1" x14ac:dyDescent="0.2">
      <c r="M441" s="7"/>
      <c r="Q441" s="7"/>
      <c r="U441" s="6"/>
    </row>
    <row r="442" spans="13:21" ht="12.75" customHeight="1" x14ac:dyDescent="0.2">
      <c r="M442" s="7"/>
      <c r="Q442" s="7"/>
      <c r="U442" s="6"/>
    </row>
    <row r="443" spans="13:21" ht="12.75" customHeight="1" x14ac:dyDescent="0.2">
      <c r="M443" s="7"/>
      <c r="Q443" s="7"/>
      <c r="U443" s="6"/>
    </row>
    <row r="444" spans="13:21" ht="12.75" customHeight="1" x14ac:dyDescent="0.2">
      <c r="M444" s="7"/>
      <c r="Q444" s="7"/>
      <c r="U444" s="6"/>
    </row>
    <row r="445" spans="13:21" ht="12.75" customHeight="1" x14ac:dyDescent="0.2">
      <c r="M445" s="7"/>
      <c r="Q445" s="7"/>
      <c r="U445" s="6"/>
    </row>
    <row r="446" spans="13:21" ht="12.75" customHeight="1" x14ac:dyDescent="0.2">
      <c r="M446" s="7"/>
      <c r="Q446" s="7"/>
      <c r="U446" s="6"/>
    </row>
    <row r="447" spans="13:21" ht="12.75" customHeight="1" x14ac:dyDescent="0.2">
      <c r="M447" s="7"/>
      <c r="Q447" s="7"/>
      <c r="U447" s="6"/>
    </row>
    <row r="448" spans="13:21" ht="12.75" customHeight="1" x14ac:dyDescent="0.2">
      <c r="M448" s="7"/>
      <c r="Q448" s="7"/>
      <c r="U448" s="6"/>
    </row>
    <row r="449" spans="13:21" ht="12.75" customHeight="1" x14ac:dyDescent="0.2">
      <c r="M449" s="7"/>
      <c r="Q449" s="7"/>
      <c r="U449" s="6"/>
    </row>
    <row r="450" spans="13:21" ht="12.75" customHeight="1" x14ac:dyDescent="0.2">
      <c r="M450" s="7"/>
      <c r="Q450" s="7"/>
      <c r="U450" s="6"/>
    </row>
    <row r="451" spans="13:21" ht="12.75" customHeight="1" x14ac:dyDescent="0.2">
      <c r="M451" s="7"/>
      <c r="Q451" s="7"/>
      <c r="U451" s="6"/>
    </row>
    <row r="452" spans="13:21" ht="12.75" customHeight="1" x14ac:dyDescent="0.2">
      <c r="M452" s="7"/>
      <c r="Q452" s="7"/>
      <c r="U452" s="6"/>
    </row>
    <row r="453" spans="13:21" ht="12.75" customHeight="1" x14ac:dyDescent="0.2">
      <c r="M453" s="7"/>
      <c r="Q453" s="7"/>
      <c r="U453" s="6"/>
    </row>
    <row r="454" spans="13:21" ht="12.75" customHeight="1" x14ac:dyDescent="0.2">
      <c r="M454" s="7"/>
      <c r="Q454" s="7"/>
      <c r="U454" s="6"/>
    </row>
    <row r="455" spans="13:21" ht="12.75" customHeight="1" x14ac:dyDescent="0.2">
      <c r="M455" s="7"/>
      <c r="Q455" s="7"/>
      <c r="U455" s="6"/>
    </row>
    <row r="456" spans="13:21" ht="12.75" customHeight="1" x14ac:dyDescent="0.2">
      <c r="M456" s="7"/>
      <c r="Q456" s="7"/>
      <c r="U456" s="6"/>
    </row>
    <row r="457" spans="13:21" ht="12.75" customHeight="1" x14ac:dyDescent="0.2">
      <c r="M457" s="7"/>
      <c r="Q457" s="7"/>
      <c r="U457" s="6"/>
    </row>
    <row r="458" spans="13:21" ht="12.75" customHeight="1" x14ac:dyDescent="0.2">
      <c r="M458" s="7"/>
      <c r="Q458" s="7"/>
      <c r="U458" s="6"/>
    </row>
    <row r="459" spans="13:21" ht="12.75" customHeight="1" x14ac:dyDescent="0.2">
      <c r="M459" s="7"/>
      <c r="Q459" s="7"/>
      <c r="U459" s="6"/>
    </row>
    <row r="460" spans="13:21" ht="12.75" customHeight="1" x14ac:dyDescent="0.2">
      <c r="M460" s="7"/>
      <c r="Q460" s="7"/>
      <c r="U460" s="6"/>
    </row>
    <row r="461" spans="13:21" ht="12.75" customHeight="1" x14ac:dyDescent="0.2">
      <c r="M461" s="7"/>
      <c r="Q461" s="7"/>
      <c r="U461" s="6"/>
    </row>
    <row r="462" spans="13:21" ht="12.75" customHeight="1" x14ac:dyDescent="0.2">
      <c r="M462" s="7"/>
      <c r="Q462" s="7"/>
      <c r="U462" s="6"/>
    </row>
    <row r="463" spans="13:21" ht="12.75" customHeight="1" x14ac:dyDescent="0.2">
      <c r="M463" s="7"/>
      <c r="Q463" s="7"/>
      <c r="U463" s="6"/>
    </row>
    <row r="464" spans="13:21" ht="12.75" customHeight="1" x14ac:dyDescent="0.2">
      <c r="M464" s="7"/>
      <c r="Q464" s="7"/>
      <c r="U464" s="6"/>
    </row>
    <row r="465" spans="13:21" ht="12.75" customHeight="1" x14ac:dyDescent="0.2">
      <c r="M465" s="7"/>
      <c r="Q465" s="7"/>
      <c r="U465" s="6"/>
    </row>
    <row r="466" spans="13:21" ht="12.75" customHeight="1" x14ac:dyDescent="0.2">
      <c r="M466" s="7"/>
      <c r="Q466" s="7"/>
      <c r="U466" s="6"/>
    </row>
    <row r="467" spans="13:21" ht="12.75" customHeight="1" x14ac:dyDescent="0.2">
      <c r="M467" s="7"/>
      <c r="Q467" s="7"/>
      <c r="U467" s="6"/>
    </row>
    <row r="468" spans="13:21" ht="12.75" customHeight="1" x14ac:dyDescent="0.2">
      <c r="M468" s="7"/>
      <c r="Q468" s="7"/>
      <c r="U468" s="6"/>
    </row>
    <row r="469" spans="13:21" ht="12.75" customHeight="1" x14ac:dyDescent="0.2">
      <c r="M469" s="7"/>
      <c r="Q469" s="7"/>
      <c r="U469" s="6"/>
    </row>
    <row r="470" spans="13:21" ht="12.75" customHeight="1" x14ac:dyDescent="0.2">
      <c r="M470" s="7"/>
      <c r="Q470" s="7"/>
      <c r="U470" s="6"/>
    </row>
    <row r="471" spans="13:21" ht="12.75" customHeight="1" x14ac:dyDescent="0.2">
      <c r="M471" s="7"/>
      <c r="Q471" s="7"/>
      <c r="U471" s="6"/>
    </row>
    <row r="472" spans="13:21" ht="12.75" customHeight="1" x14ac:dyDescent="0.2">
      <c r="M472" s="7"/>
      <c r="Q472" s="7"/>
      <c r="U472" s="6"/>
    </row>
    <row r="473" spans="13:21" ht="12.75" customHeight="1" x14ac:dyDescent="0.2">
      <c r="M473" s="7"/>
      <c r="Q473" s="7"/>
      <c r="U473" s="6"/>
    </row>
    <row r="474" spans="13:21" ht="12.75" customHeight="1" x14ac:dyDescent="0.2">
      <c r="M474" s="7"/>
      <c r="Q474" s="7"/>
      <c r="U474" s="6"/>
    </row>
    <row r="475" spans="13:21" ht="12.75" customHeight="1" x14ac:dyDescent="0.2">
      <c r="M475" s="7"/>
      <c r="Q475" s="7"/>
      <c r="U475" s="6"/>
    </row>
    <row r="476" spans="13:21" ht="12.75" customHeight="1" x14ac:dyDescent="0.2">
      <c r="M476" s="7"/>
      <c r="Q476" s="7"/>
      <c r="U476" s="6"/>
    </row>
    <row r="477" spans="13:21" ht="12.75" customHeight="1" x14ac:dyDescent="0.2">
      <c r="M477" s="7"/>
      <c r="Q477" s="7"/>
      <c r="U477" s="6"/>
    </row>
    <row r="478" spans="13:21" ht="12.75" customHeight="1" x14ac:dyDescent="0.2">
      <c r="M478" s="7"/>
      <c r="Q478" s="7"/>
      <c r="U478" s="6"/>
    </row>
    <row r="479" spans="13:21" ht="12.75" customHeight="1" x14ac:dyDescent="0.2">
      <c r="M479" s="7"/>
      <c r="Q479" s="7"/>
      <c r="U479" s="6"/>
    </row>
    <row r="480" spans="13:21" ht="12.75" customHeight="1" x14ac:dyDescent="0.2">
      <c r="M480" s="7"/>
      <c r="Q480" s="7"/>
      <c r="U480" s="6"/>
    </row>
    <row r="481" spans="13:21" ht="12.75" customHeight="1" x14ac:dyDescent="0.2">
      <c r="M481" s="7"/>
      <c r="Q481" s="7"/>
      <c r="U481" s="6"/>
    </row>
    <row r="482" spans="13:21" ht="12.75" customHeight="1" x14ac:dyDescent="0.2">
      <c r="M482" s="7"/>
      <c r="Q482" s="7"/>
      <c r="U482" s="6"/>
    </row>
    <row r="483" spans="13:21" ht="12.75" customHeight="1" x14ac:dyDescent="0.2">
      <c r="M483" s="7"/>
      <c r="Q483" s="7"/>
      <c r="U483" s="6"/>
    </row>
    <row r="484" spans="13:21" ht="12.75" customHeight="1" x14ac:dyDescent="0.2">
      <c r="M484" s="7"/>
      <c r="Q484" s="7"/>
      <c r="U484" s="6"/>
    </row>
    <row r="485" spans="13:21" ht="12.75" customHeight="1" x14ac:dyDescent="0.2">
      <c r="M485" s="7"/>
      <c r="Q485" s="7"/>
      <c r="U485" s="6"/>
    </row>
    <row r="486" spans="13:21" ht="12.75" customHeight="1" x14ac:dyDescent="0.2">
      <c r="M486" s="7"/>
      <c r="Q486" s="7"/>
      <c r="U486" s="6"/>
    </row>
    <row r="487" spans="13:21" ht="12.75" customHeight="1" x14ac:dyDescent="0.2">
      <c r="M487" s="7"/>
      <c r="Q487" s="7"/>
      <c r="U487" s="6"/>
    </row>
    <row r="488" spans="13:21" ht="12.75" customHeight="1" x14ac:dyDescent="0.2">
      <c r="M488" s="7"/>
      <c r="Q488" s="7"/>
      <c r="U488" s="6"/>
    </row>
    <row r="489" spans="13:21" ht="12.75" customHeight="1" x14ac:dyDescent="0.2">
      <c r="M489" s="7"/>
      <c r="Q489" s="7"/>
      <c r="U489" s="6"/>
    </row>
    <row r="490" spans="13:21" ht="12.75" customHeight="1" x14ac:dyDescent="0.2">
      <c r="M490" s="7"/>
      <c r="Q490" s="7"/>
      <c r="U490" s="6"/>
    </row>
    <row r="491" spans="13:21" ht="12.75" customHeight="1" x14ac:dyDescent="0.2">
      <c r="M491" s="7"/>
      <c r="Q491" s="7"/>
      <c r="U491" s="6"/>
    </row>
    <row r="492" spans="13:21" ht="12.75" customHeight="1" x14ac:dyDescent="0.2">
      <c r="M492" s="7"/>
      <c r="Q492" s="7"/>
      <c r="U492" s="6"/>
    </row>
    <row r="493" spans="13:21" ht="12.75" customHeight="1" x14ac:dyDescent="0.2">
      <c r="M493" s="7"/>
      <c r="Q493" s="7"/>
      <c r="U493" s="6"/>
    </row>
    <row r="494" spans="13:21" ht="12.75" customHeight="1" x14ac:dyDescent="0.2">
      <c r="M494" s="7"/>
      <c r="Q494" s="7"/>
      <c r="U494" s="6"/>
    </row>
    <row r="495" spans="13:21" ht="12.75" customHeight="1" x14ac:dyDescent="0.2">
      <c r="M495" s="7"/>
      <c r="Q495" s="7"/>
      <c r="U495" s="6"/>
    </row>
    <row r="496" spans="13:21" ht="12.75" customHeight="1" x14ac:dyDescent="0.2">
      <c r="M496" s="7"/>
      <c r="Q496" s="7"/>
      <c r="U496" s="6"/>
    </row>
    <row r="497" spans="13:21" ht="12.75" customHeight="1" x14ac:dyDescent="0.2">
      <c r="M497" s="7"/>
      <c r="Q497" s="7"/>
      <c r="U497" s="6"/>
    </row>
    <row r="498" spans="13:21" ht="12.75" customHeight="1" x14ac:dyDescent="0.2">
      <c r="M498" s="7"/>
      <c r="Q498" s="7"/>
      <c r="U498" s="6"/>
    </row>
    <row r="499" spans="13:21" ht="12.75" customHeight="1" x14ac:dyDescent="0.2">
      <c r="M499" s="7"/>
      <c r="Q499" s="7"/>
      <c r="U499" s="6"/>
    </row>
    <row r="500" spans="13:21" ht="12.75" customHeight="1" x14ac:dyDescent="0.2">
      <c r="M500" s="7"/>
      <c r="Q500" s="7"/>
      <c r="U500" s="6"/>
    </row>
    <row r="501" spans="13:21" ht="12.75" customHeight="1" x14ac:dyDescent="0.2">
      <c r="M501" s="7"/>
      <c r="Q501" s="7"/>
      <c r="U501" s="6"/>
    </row>
    <row r="502" spans="13:21" ht="12.75" customHeight="1" x14ac:dyDescent="0.2">
      <c r="M502" s="7"/>
      <c r="Q502" s="7"/>
      <c r="U502" s="6"/>
    </row>
    <row r="503" spans="13:21" ht="12.75" customHeight="1" x14ac:dyDescent="0.2">
      <c r="M503" s="7"/>
      <c r="Q503" s="7"/>
      <c r="U503" s="6"/>
    </row>
    <row r="504" spans="13:21" ht="12.75" customHeight="1" x14ac:dyDescent="0.2">
      <c r="M504" s="7"/>
      <c r="Q504" s="7"/>
      <c r="U504" s="6"/>
    </row>
    <row r="505" spans="13:21" ht="12.75" customHeight="1" x14ac:dyDescent="0.2">
      <c r="M505" s="7"/>
      <c r="Q505" s="7"/>
      <c r="U505" s="6"/>
    </row>
    <row r="506" spans="13:21" ht="12.75" customHeight="1" x14ac:dyDescent="0.2">
      <c r="M506" s="7"/>
      <c r="Q506" s="7"/>
      <c r="U506" s="6"/>
    </row>
    <row r="507" spans="13:21" ht="12.75" customHeight="1" x14ac:dyDescent="0.2">
      <c r="M507" s="7"/>
      <c r="Q507" s="7"/>
      <c r="U507" s="6"/>
    </row>
    <row r="508" spans="13:21" ht="12.75" customHeight="1" x14ac:dyDescent="0.2">
      <c r="M508" s="7"/>
      <c r="Q508" s="7"/>
      <c r="U508" s="6"/>
    </row>
    <row r="509" spans="13:21" ht="12.75" customHeight="1" x14ac:dyDescent="0.2">
      <c r="M509" s="7"/>
      <c r="Q509" s="7"/>
      <c r="U509" s="6"/>
    </row>
    <row r="510" spans="13:21" ht="12.75" customHeight="1" x14ac:dyDescent="0.2">
      <c r="M510" s="7"/>
      <c r="Q510" s="7"/>
      <c r="U510" s="6"/>
    </row>
    <row r="511" spans="13:21" ht="12.75" customHeight="1" x14ac:dyDescent="0.2">
      <c r="M511" s="7"/>
      <c r="Q511" s="7"/>
      <c r="U511" s="6"/>
    </row>
    <row r="512" spans="13:21" ht="12.75" customHeight="1" x14ac:dyDescent="0.2">
      <c r="M512" s="7"/>
      <c r="Q512" s="7"/>
      <c r="U512" s="6"/>
    </row>
    <row r="513" spans="13:21" ht="12.75" customHeight="1" x14ac:dyDescent="0.2">
      <c r="M513" s="7"/>
      <c r="Q513" s="7"/>
      <c r="U513" s="6"/>
    </row>
    <row r="514" spans="13:21" ht="12.75" customHeight="1" x14ac:dyDescent="0.2">
      <c r="M514" s="7"/>
      <c r="Q514" s="7"/>
      <c r="U514" s="6"/>
    </row>
    <row r="515" spans="13:21" ht="12.75" customHeight="1" x14ac:dyDescent="0.2">
      <c r="M515" s="7"/>
      <c r="Q515" s="7"/>
      <c r="U515" s="6"/>
    </row>
    <row r="516" spans="13:21" ht="12.75" customHeight="1" x14ac:dyDescent="0.2">
      <c r="M516" s="7"/>
      <c r="Q516" s="7"/>
      <c r="U516" s="6"/>
    </row>
    <row r="517" spans="13:21" ht="12.75" customHeight="1" x14ac:dyDescent="0.2">
      <c r="M517" s="7"/>
      <c r="Q517" s="7"/>
      <c r="U517" s="6"/>
    </row>
    <row r="518" spans="13:21" ht="12.75" customHeight="1" x14ac:dyDescent="0.2">
      <c r="M518" s="7"/>
      <c r="Q518" s="7"/>
      <c r="U518" s="6"/>
    </row>
    <row r="519" spans="13:21" ht="12.75" customHeight="1" x14ac:dyDescent="0.2">
      <c r="M519" s="7"/>
      <c r="Q519" s="7"/>
      <c r="U519" s="6"/>
    </row>
    <row r="520" spans="13:21" ht="12.75" customHeight="1" x14ac:dyDescent="0.2">
      <c r="M520" s="7"/>
      <c r="Q520" s="7"/>
      <c r="U520" s="6"/>
    </row>
    <row r="521" spans="13:21" ht="12.75" customHeight="1" x14ac:dyDescent="0.2">
      <c r="M521" s="7"/>
      <c r="Q521" s="7"/>
      <c r="U521" s="6"/>
    </row>
    <row r="522" spans="13:21" ht="12.75" customHeight="1" x14ac:dyDescent="0.2">
      <c r="M522" s="7"/>
      <c r="Q522" s="7"/>
      <c r="U522" s="6"/>
    </row>
    <row r="523" spans="13:21" ht="12.75" customHeight="1" x14ac:dyDescent="0.2">
      <c r="M523" s="7"/>
      <c r="Q523" s="7"/>
      <c r="U523" s="6"/>
    </row>
    <row r="524" spans="13:21" ht="12.75" customHeight="1" x14ac:dyDescent="0.2">
      <c r="M524" s="7"/>
      <c r="Q524" s="7"/>
      <c r="U524" s="6"/>
    </row>
    <row r="525" spans="13:21" ht="12.75" customHeight="1" x14ac:dyDescent="0.2">
      <c r="M525" s="7"/>
      <c r="Q525" s="7"/>
      <c r="U525" s="6"/>
    </row>
    <row r="526" spans="13:21" ht="12.75" customHeight="1" x14ac:dyDescent="0.2">
      <c r="M526" s="7"/>
      <c r="Q526" s="7"/>
      <c r="U526" s="6"/>
    </row>
    <row r="527" spans="13:21" ht="12.75" customHeight="1" x14ac:dyDescent="0.2">
      <c r="M527" s="7"/>
      <c r="Q527" s="7"/>
      <c r="U527" s="6"/>
    </row>
    <row r="528" spans="13:21" ht="12.75" customHeight="1" x14ac:dyDescent="0.2">
      <c r="M528" s="7"/>
      <c r="Q528" s="7"/>
      <c r="U528" s="6"/>
    </row>
    <row r="529" spans="13:21" ht="12.75" customHeight="1" x14ac:dyDescent="0.2">
      <c r="M529" s="7"/>
      <c r="Q529" s="7"/>
      <c r="U529" s="6"/>
    </row>
    <row r="530" spans="13:21" ht="12.75" customHeight="1" x14ac:dyDescent="0.2">
      <c r="M530" s="7"/>
      <c r="Q530" s="7"/>
      <c r="U530" s="6"/>
    </row>
    <row r="531" spans="13:21" ht="12.75" customHeight="1" x14ac:dyDescent="0.2">
      <c r="M531" s="7"/>
      <c r="Q531" s="7"/>
      <c r="U531" s="6"/>
    </row>
    <row r="532" spans="13:21" ht="12.75" customHeight="1" x14ac:dyDescent="0.2">
      <c r="M532" s="7"/>
      <c r="Q532" s="7"/>
      <c r="U532" s="6"/>
    </row>
    <row r="533" spans="13:21" ht="12.75" customHeight="1" x14ac:dyDescent="0.2">
      <c r="M533" s="7"/>
      <c r="Q533" s="7"/>
      <c r="U533" s="6"/>
    </row>
    <row r="534" spans="13:21" ht="12.75" customHeight="1" x14ac:dyDescent="0.2">
      <c r="M534" s="7"/>
      <c r="Q534" s="7"/>
      <c r="U534" s="6"/>
    </row>
    <row r="535" spans="13:21" ht="12.75" customHeight="1" x14ac:dyDescent="0.2">
      <c r="M535" s="7"/>
      <c r="Q535" s="7"/>
      <c r="U535" s="6"/>
    </row>
    <row r="536" spans="13:21" ht="12.75" customHeight="1" x14ac:dyDescent="0.2">
      <c r="M536" s="7"/>
      <c r="Q536" s="7"/>
      <c r="U536" s="6"/>
    </row>
    <row r="537" spans="13:21" ht="12.75" customHeight="1" x14ac:dyDescent="0.2">
      <c r="M537" s="7"/>
      <c r="Q537" s="7"/>
      <c r="U537" s="6"/>
    </row>
    <row r="538" spans="13:21" ht="12.75" customHeight="1" x14ac:dyDescent="0.2">
      <c r="M538" s="7"/>
      <c r="Q538" s="7"/>
      <c r="U538" s="6"/>
    </row>
    <row r="539" spans="13:21" ht="12.75" customHeight="1" x14ac:dyDescent="0.2">
      <c r="M539" s="7"/>
      <c r="Q539" s="7"/>
      <c r="U539" s="6"/>
    </row>
    <row r="540" spans="13:21" ht="12.75" customHeight="1" x14ac:dyDescent="0.2">
      <c r="M540" s="7"/>
      <c r="Q540" s="7"/>
      <c r="U540" s="6"/>
    </row>
    <row r="541" spans="13:21" ht="12.75" customHeight="1" x14ac:dyDescent="0.2">
      <c r="M541" s="7"/>
      <c r="Q541" s="7"/>
      <c r="U541" s="6"/>
    </row>
    <row r="542" spans="13:21" ht="12.75" customHeight="1" x14ac:dyDescent="0.2">
      <c r="M542" s="7"/>
      <c r="Q542" s="7"/>
      <c r="U542" s="6"/>
    </row>
    <row r="543" spans="13:21" ht="12.75" customHeight="1" x14ac:dyDescent="0.2">
      <c r="M543" s="7"/>
      <c r="Q543" s="7"/>
      <c r="U543" s="6"/>
    </row>
    <row r="544" spans="13:21" ht="12.75" customHeight="1" x14ac:dyDescent="0.2">
      <c r="M544" s="7"/>
      <c r="Q544" s="7"/>
      <c r="U544" s="6"/>
    </row>
    <row r="545" spans="13:21" ht="12.75" customHeight="1" x14ac:dyDescent="0.2">
      <c r="M545" s="7"/>
      <c r="Q545" s="7"/>
      <c r="U545" s="6"/>
    </row>
    <row r="546" spans="13:21" ht="12.75" customHeight="1" x14ac:dyDescent="0.2">
      <c r="M546" s="7"/>
      <c r="Q546" s="7"/>
      <c r="U546" s="6"/>
    </row>
    <row r="547" spans="13:21" ht="12.75" customHeight="1" x14ac:dyDescent="0.2">
      <c r="M547" s="7"/>
      <c r="Q547" s="7"/>
      <c r="U547" s="6"/>
    </row>
    <row r="548" spans="13:21" ht="12.75" customHeight="1" x14ac:dyDescent="0.2">
      <c r="M548" s="7"/>
      <c r="Q548" s="7"/>
      <c r="U548" s="6"/>
    </row>
    <row r="549" spans="13:21" ht="12.75" customHeight="1" x14ac:dyDescent="0.2">
      <c r="M549" s="7"/>
      <c r="Q549" s="7"/>
      <c r="U549" s="6"/>
    </row>
    <row r="550" spans="13:21" ht="12.75" customHeight="1" x14ac:dyDescent="0.2">
      <c r="M550" s="7"/>
      <c r="Q550" s="7"/>
      <c r="U550" s="6"/>
    </row>
    <row r="551" spans="13:21" ht="12.75" customHeight="1" x14ac:dyDescent="0.2">
      <c r="M551" s="7"/>
      <c r="Q551" s="7"/>
      <c r="U551" s="6"/>
    </row>
    <row r="552" spans="13:21" ht="12.75" customHeight="1" x14ac:dyDescent="0.2">
      <c r="M552" s="7"/>
      <c r="Q552" s="7"/>
      <c r="U552" s="6"/>
    </row>
    <row r="553" spans="13:21" ht="12.75" customHeight="1" x14ac:dyDescent="0.2">
      <c r="M553" s="7"/>
      <c r="Q553" s="7"/>
      <c r="U553" s="6"/>
    </row>
    <row r="554" spans="13:21" ht="12.75" customHeight="1" x14ac:dyDescent="0.2">
      <c r="M554" s="7"/>
      <c r="Q554" s="7"/>
      <c r="U554" s="6"/>
    </row>
    <row r="555" spans="13:21" ht="12.75" customHeight="1" x14ac:dyDescent="0.2">
      <c r="M555" s="7"/>
      <c r="Q555" s="7"/>
      <c r="U555" s="6"/>
    </row>
    <row r="556" spans="13:21" ht="12.75" customHeight="1" x14ac:dyDescent="0.2">
      <c r="M556" s="7"/>
      <c r="Q556" s="7"/>
      <c r="U556" s="6"/>
    </row>
    <row r="557" spans="13:21" ht="12.75" customHeight="1" x14ac:dyDescent="0.2">
      <c r="M557" s="7"/>
      <c r="Q557" s="7"/>
      <c r="U557" s="6"/>
    </row>
    <row r="558" spans="13:21" ht="12.75" customHeight="1" x14ac:dyDescent="0.2">
      <c r="M558" s="7"/>
      <c r="Q558" s="7"/>
      <c r="U558" s="6"/>
    </row>
    <row r="559" spans="13:21" ht="12.75" customHeight="1" x14ac:dyDescent="0.2">
      <c r="M559" s="7"/>
      <c r="Q559" s="7"/>
      <c r="U559" s="6"/>
    </row>
    <row r="560" spans="13:21" ht="12.75" customHeight="1" x14ac:dyDescent="0.2">
      <c r="M560" s="7"/>
      <c r="Q560" s="7"/>
      <c r="U560" s="6"/>
    </row>
    <row r="561" spans="13:21" ht="12.75" customHeight="1" x14ac:dyDescent="0.2">
      <c r="M561" s="7"/>
      <c r="Q561" s="7"/>
      <c r="U561" s="6"/>
    </row>
    <row r="562" spans="13:21" ht="12.75" customHeight="1" x14ac:dyDescent="0.2">
      <c r="M562" s="7"/>
      <c r="Q562" s="7"/>
      <c r="U562" s="6"/>
    </row>
    <row r="563" spans="13:21" ht="12.75" customHeight="1" x14ac:dyDescent="0.2">
      <c r="M563" s="7"/>
      <c r="Q563" s="7"/>
      <c r="U563" s="6"/>
    </row>
    <row r="564" spans="13:21" ht="12.75" customHeight="1" x14ac:dyDescent="0.2">
      <c r="M564" s="7"/>
      <c r="Q564" s="7"/>
      <c r="U564" s="6"/>
    </row>
    <row r="565" spans="13:21" ht="12.75" customHeight="1" x14ac:dyDescent="0.2">
      <c r="M565" s="7"/>
      <c r="Q565" s="7"/>
      <c r="U565" s="6"/>
    </row>
    <row r="566" spans="13:21" ht="12.75" customHeight="1" x14ac:dyDescent="0.2">
      <c r="M566" s="7"/>
      <c r="Q566" s="7"/>
      <c r="U566" s="6"/>
    </row>
    <row r="567" spans="13:21" ht="12.75" customHeight="1" x14ac:dyDescent="0.2">
      <c r="M567" s="7"/>
      <c r="Q567" s="7"/>
      <c r="U567" s="6"/>
    </row>
    <row r="568" spans="13:21" ht="12.75" customHeight="1" x14ac:dyDescent="0.2">
      <c r="M568" s="7"/>
      <c r="Q568" s="7"/>
      <c r="U568" s="6"/>
    </row>
    <row r="569" spans="13:21" ht="12.75" customHeight="1" x14ac:dyDescent="0.2">
      <c r="M569" s="7"/>
      <c r="Q569" s="7"/>
      <c r="U569" s="6"/>
    </row>
    <row r="570" spans="13:21" ht="12.75" customHeight="1" x14ac:dyDescent="0.2">
      <c r="M570" s="7"/>
      <c r="Q570" s="7"/>
      <c r="U570" s="6"/>
    </row>
    <row r="571" spans="13:21" ht="12.75" customHeight="1" x14ac:dyDescent="0.2">
      <c r="M571" s="7"/>
      <c r="Q571" s="7"/>
      <c r="U571" s="6"/>
    </row>
    <row r="572" spans="13:21" ht="12.75" customHeight="1" x14ac:dyDescent="0.2">
      <c r="M572" s="7"/>
      <c r="Q572" s="7"/>
      <c r="U572" s="6"/>
    </row>
    <row r="573" spans="13:21" ht="12.75" customHeight="1" x14ac:dyDescent="0.2">
      <c r="M573" s="7"/>
      <c r="Q573" s="7"/>
      <c r="U573" s="6"/>
    </row>
    <row r="574" spans="13:21" ht="12.75" customHeight="1" x14ac:dyDescent="0.2">
      <c r="M574" s="7"/>
      <c r="Q574" s="7"/>
      <c r="U574" s="6"/>
    </row>
    <row r="575" spans="13:21" ht="12.75" customHeight="1" x14ac:dyDescent="0.2">
      <c r="M575" s="7"/>
      <c r="Q575" s="7"/>
      <c r="U575" s="6"/>
    </row>
    <row r="576" spans="13:21" ht="12.75" customHeight="1" x14ac:dyDescent="0.2">
      <c r="M576" s="7"/>
      <c r="Q576" s="7"/>
      <c r="U576" s="6"/>
    </row>
    <row r="577" spans="13:21" ht="12.75" customHeight="1" x14ac:dyDescent="0.2">
      <c r="M577" s="7"/>
      <c r="Q577" s="7"/>
      <c r="U577" s="6"/>
    </row>
    <row r="578" spans="13:21" ht="12.75" customHeight="1" x14ac:dyDescent="0.2">
      <c r="M578" s="7"/>
      <c r="Q578" s="7"/>
      <c r="U578" s="6"/>
    </row>
    <row r="579" spans="13:21" ht="12.75" customHeight="1" x14ac:dyDescent="0.2">
      <c r="M579" s="7"/>
      <c r="Q579" s="7"/>
      <c r="U579" s="6"/>
    </row>
    <row r="580" spans="13:21" ht="12.75" customHeight="1" x14ac:dyDescent="0.2">
      <c r="M580" s="7"/>
      <c r="Q580" s="7"/>
      <c r="U580" s="6"/>
    </row>
    <row r="581" spans="13:21" ht="12.75" customHeight="1" x14ac:dyDescent="0.2">
      <c r="M581" s="7"/>
      <c r="Q581" s="7"/>
      <c r="U581" s="6"/>
    </row>
    <row r="582" spans="13:21" ht="12.75" customHeight="1" x14ac:dyDescent="0.2">
      <c r="M582" s="7"/>
      <c r="Q582" s="7"/>
      <c r="U582" s="6"/>
    </row>
    <row r="583" spans="13:21" ht="12.75" customHeight="1" x14ac:dyDescent="0.2">
      <c r="M583" s="7"/>
      <c r="Q583" s="7"/>
      <c r="U583" s="6"/>
    </row>
    <row r="584" spans="13:21" ht="12.75" customHeight="1" x14ac:dyDescent="0.2">
      <c r="M584" s="7"/>
      <c r="Q584" s="7"/>
      <c r="U584" s="6"/>
    </row>
    <row r="585" spans="13:21" ht="12.75" customHeight="1" x14ac:dyDescent="0.2">
      <c r="M585" s="7"/>
      <c r="Q585" s="7"/>
      <c r="U585" s="6"/>
    </row>
    <row r="586" spans="13:21" ht="12.75" customHeight="1" x14ac:dyDescent="0.2">
      <c r="M586" s="7"/>
      <c r="Q586" s="7"/>
      <c r="U586" s="6"/>
    </row>
    <row r="587" spans="13:21" ht="12.75" customHeight="1" x14ac:dyDescent="0.2">
      <c r="M587" s="7"/>
      <c r="Q587" s="7"/>
      <c r="U587" s="6"/>
    </row>
    <row r="588" spans="13:21" ht="12.75" customHeight="1" x14ac:dyDescent="0.2">
      <c r="M588" s="7"/>
      <c r="Q588" s="7"/>
      <c r="U588" s="6"/>
    </row>
    <row r="589" spans="13:21" ht="12.75" customHeight="1" x14ac:dyDescent="0.2">
      <c r="M589" s="7"/>
      <c r="Q589" s="7"/>
      <c r="U589" s="6"/>
    </row>
    <row r="590" spans="13:21" ht="12.75" customHeight="1" x14ac:dyDescent="0.2">
      <c r="M590" s="7"/>
      <c r="Q590" s="7"/>
      <c r="U590" s="6"/>
    </row>
    <row r="591" spans="13:21" ht="12.75" customHeight="1" x14ac:dyDescent="0.2">
      <c r="M591" s="7"/>
      <c r="Q591" s="7"/>
      <c r="U591" s="6"/>
    </row>
    <row r="592" spans="13:21" ht="12.75" customHeight="1" x14ac:dyDescent="0.2">
      <c r="M592" s="7"/>
      <c r="Q592" s="7"/>
      <c r="U592" s="6"/>
    </row>
    <row r="593" spans="13:21" ht="12.75" customHeight="1" x14ac:dyDescent="0.2">
      <c r="M593" s="7"/>
      <c r="Q593" s="7"/>
      <c r="U593" s="6"/>
    </row>
    <row r="594" spans="13:21" ht="12.75" customHeight="1" x14ac:dyDescent="0.2">
      <c r="M594" s="7"/>
      <c r="Q594" s="7"/>
      <c r="U594" s="6"/>
    </row>
    <row r="595" spans="13:21" ht="12.75" customHeight="1" x14ac:dyDescent="0.2">
      <c r="M595" s="7"/>
      <c r="Q595" s="7"/>
      <c r="U595" s="6"/>
    </row>
    <row r="596" spans="13:21" ht="12.75" customHeight="1" x14ac:dyDescent="0.2">
      <c r="M596" s="7"/>
      <c r="Q596" s="7"/>
      <c r="U596" s="6"/>
    </row>
    <row r="597" spans="13:21" ht="12.75" customHeight="1" x14ac:dyDescent="0.2">
      <c r="M597" s="7"/>
      <c r="Q597" s="7"/>
      <c r="U597" s="6"/>
    </row>
    <row r="598" spans="13:21" ht="12.75" customHeight="1" x14ac:dyDescent="0.2">
      <c r="M598" s="7"/>
      <c r="Q598" s="7"/>
      <c r="U598" s="6"/>
    </row>
    <row r="599" spans="13:21" ht="12.75" customHeight="1" x14ac:dyDescent="0.2">
      <c r="M599" s="7"/>
      <c r="Q599" s="7"/>
      <c r="U599" s="6"/>
    </row>
    <row r="600" spans="13:21" ht="12.75" customHeight="1" x14ac:dyDescent="0.2">
      <c r="M600" s="7"/>
      <c r="Q600" s="7"/>
      <c r="U600" s="6"/>
    </row>
    <row r="601" spans="13:21" ht="12.75" customHeight="1" x14ac:dyDescent="0.2">
      <c r="M601" s="7"/>
      <c r="Q601" s="7"/>
      <c r="U601" s="6"/>
    </row>
    <row r="602" spans="13:21" ht="12.75" customHeight="1" x14ac:dyDescent="0.2">
      <c r="M602" s="7"/>
      <c r="Q602" s="7"/>
      <c r="U602" s="6"/>
    </row>
    <row r="603" spans="13:21" ht="12.75" customHeight="1" x14ac:dyDescent="0.2">
      <c r="M603" s="7"/>
      <c r="Q603" s="7"/>
      <c r="U603" s="6"/>
    </row>
    <row r="604" spans="13:21" ht="12.75" customHeight="1" x14ac:dyDescent="0.2">
      <c r="M604" s="7"/>
      <c r="Q604" s="7"/>
      <c r="U604" s="6"/>
    </row>
    <row r="605" spans="13:21" ht="12.75" customHeight="1" x14ac:dyDescent="0.2">
      <c r="M605" s="7"/>
      <c r="Q605" s="7"/>
      <c r="U605" s="6"/>
    </row>
    <row r="606" spans="13:21" ht="12.75" customHeight="1" x14ac:dyDescent="0.2">
      <c r="M606" s="7"/>
      <c r="Q606" s="7"/>
      <c r="U606" s="6"/>
    </row>
    <row r="607" spans="13:21" ht="12.75" customHeight="1" x14ac:dyDescent="0.2">
      <c r="M607" s="7"/>
      <c r="Q607" s="7"/>
      <c r="U607" s="6"/>
    </row>
    <row r="608" spans="13:21" ht="12.75" customHeight="1" x14ac:dyDescent="0.2">
      <c r="M608" s="7"/>
      <c r="Q608" s="7"/>
      <c r="U608" s="6"/>
    </row>
    <row r="609" spans="13:21" ht="12.75" customHeight="1" x14ac:dyDescent="0.2">
      <c r="M609" s="7"/>
      <c r="Q609" s="7"/>
      <c r="U609" s="6"/>
    </row>
    <row r="610" spans="13:21" ht="12.75" customHeight="1" x14ac:dyDescent="0.2">
      <c r="M610" s="7"/>
      <c r="Q610" s="7"/>
      <c r="U610" s="6"/>
    </row>
    <row r="611" spans="13:21" ht="12.75" customHeight="1" x14ac:dyDescent="0.2">
      <c r="M611" s="7"/>
      <c r="Q611" s="7"/>
      <c r="U611" s="6"/>
    </row>
    <row r="612" spans="13:21" ht="12.75" customHeight="1" x14ac:dyDescent="0.2">
      <c r="M612" s="7"/>
      <c r="Q612" s="7"/>
      <c r="U612" s="6"/>
    </row>
    <row r="613" spans="13:21" ht="12.75" customHeight="1" x14ac:dyDescent="0.2">
      <c r="M613" s="7"/>
      <c r="Q613" s="7"/>
      <c r="U613" s="6"/>
    </row>
    <row r="614" spans="13:21" ht="12.75" customHeight="1" x14ac:dyDescent="0.2">
      <c r="M614" s="7"/>
      <c r="Q614" s="7"/>
      <c r="U614" s="6"/>
    </row>
    <row r="615" spans="13:21" ht="12.75" customHeight="1" x14ac:dyDescent="0.2">
      <c r="M615" s="7"/>
      <c r="Q615" s="7"/>
      <c r="U615" s="6"/>
    </row>
    <row r="616" spans="13:21" ht="12.75" customHeight="1" x14ac:dyDescent="0.2">
      <c r="M616" s="7"/>
      <c r="Q616" s="7"/>
      <c r="U616" s="6"/>
    </row>
    <row r="617" spans="13:21" ht="12.75" customHeight="1" x14ac:dyDescent="0.2">
      <c r="M617" s="7"/>
      <c r="Q617" s="7"/>
      <c r="U617" s="6"/>
    </row>
    <row r="618" spans="13:21" ht="12.75" customHeight="1" x14ac:dyDescent="0.2">
      <c r="M618" s="7"/>
      <c r="Q618" s="7"/>
      <c r="U618" s="6"/>
    </row>
    <row r="619" spans="13:21" ht="12.75" customHeight="1" x14ac:dyDescent="0.2">
      <c r="M619" s="7"/>
      <c r="Q619" s="7"/>
      <c r="U619" s="6"/>
    </row>
    <row r="620" spans="13:21" ht="12.75" customHeight="1" x14ac:dyDescent="0.2">
      <c r="M620" s="7"/>
      <c r="Q620" s="7"/>
      <c r="U620" s="6"/>
    </row>
    <row r="621" spans="13:21" ht="12.75" customHeight="1" x14ac:dyDescent="0.2">
      <c r="M621" s="7"/>
      <c r="Q621" s="7"/>
      <c r="U621" s="6"/>
    </row>
    <row r="622" spans="13:21" ht="12.75" customHeight="1" x14ac:dyDescent="0.2">
      <c r="M622" s="7"/>
      <c r="Q622" s="7"/>
      <c r="U622" s="6"/>
    </row>
    <row r="623" spans="13:21" ht="12.75" customHeight="1" x14ac:dyDescent="0.2">
      <c r="M623" s="7"/>
      <c r="Q623" s="7"/>
      <c r="U623" s="6"/>
    </row>
    <row r="624" spans="13:21" ht="12.75" customHeight="1" x14ac:dyDescent="0.2">
      <c r="M624" s="7"/>
      <c r="Q624" s="7"/>
      <c r="U624" s="6"/>
    </row>
    <row r="625" spans="13:21" ht="12.75" customHeight="1" x14ac:dyDescent="0.2">
      <c r="M625" s="7"/>
      <c r="Q625" s="7"/>
      <c r="U625" s="6"/>
    </row>
    <row r="626" spans="13:21" ht="12.75" customHeight="1" x14ac:dyDescent="0.2">
      <c r="M626" s="7"/>
      <c r="Q626" s="7"/>
      <c r="U626" s="6"/>
    </row>
    <row r="627" spans="13:21" ht="12.75" customHeight="1" x14ac:dyDescent="0.2">
      <c r="M627" s="7"/>
      <c r="Q627" s="7"/>
      <c r="U627" s="6"/>
    </row>
    <row r="628" spans="13:21" ht="12.75" customHeight="1" x14ac:dyDescent="0.2">
      <c r="M628" s="7"/>
      <c r="Q628" s="7"/>
      <c r="U628" s="6"/>
    </row>
    <row r="629" spans="13:21" ht="12.75" customHeight="1" x14ac:dyDescent="0.2">
      <c r="M629" s="7"/>
      <c r="Q629" s="7"/>
      <c r="U629" s="6"/>
    </row>
    <row r="630" spans="13:21" ht="12.75" customHeight="1" x14ac:dyDescent="0.2">
      <c r="M630" s="7"/>
      <c r="Q630" s="7"/>
      <c r="U630" s="6"/>
    </row>
    <row r="631" spans="13:21" ht="12.75" customHeight="1" x14ac:dyDescent="0.2">
      <c r="M631" s="7"/>
      <c r="Q631" s="7"/>
      <c r="U631" s="6"/>
    </row>
    <row r="632" spans="13:21" ht="12.75" customHeight="1" x14ac:dyDescent="0.2">
      <c r="M632" s="7"/>
      <c r="Q632" s="7"/>
      <c r="U632" s="6"/>
    </row>
    <row r="633" spans="13:21" ht="12.75" customHeight="1" x14ac:dyDescent="0.2">
      <c r="M633" s="7"/>
      <c r="Q633" s="7"/>
      <c r="U633" s="6"/>
    </row>
    <row r="634" spans="13:21" ht="12.75" customHeight="1" x14ac:dyDescent="0.2">
      <c r="M634" s="7"/>
      <c r="Q634" s="7"/>
      <c r="U634" s="6"/>
    </row>
    <row r="635" spans="13:21" ht="12.75" customHeight="1" x14ac:dyDescent="0.2">
      <c r="M635" s="7"/>
      <c r="Q635" s="7"/>
      <c r="U635" s="6"/>
    </row>
    <row r="636" spans="13:21" ht="12.75" customHeight="1" x14ac:dyDescent="0.2">
      <c r="M636" s="7"/>
      <c r="Q636" s="7"/>
      <c r="U636" s="6"/>
    </row>
    <row r="637" spans="13:21" ht="12.75" customHeight="1" x14ac:dyDescent="0.2">
      <c r="M637" s="7"/>
      <c r="Q637" s="7"/>
      <c r="U637" s="6"/>
    </row>
    <row r="638" spans="13:21" ht="12.75" customHeight="1" x14ac:dyDescent="0.2">
      <c r="M638" s="7"/>
      <c r="Q638" s="7"/>
      <c r="U638" s="6"/>
    </row>
    <row r="639" spans="13:21" ht="12.75" customHeight="1" x14ac:dyDescent="0.2">
      <c r="M639" s="7"/>
      <c r="Q639" s="7"/>
      <c r="U639" s="6"/>
    </row>
    <row r="640" spans="13:21" ht="12.75" customHeight="1" x14ac:dyDescent="0.2">
      <c r="M640" s="7"/>
      <c r="Q640" s="7"/>
      <c r="U640" s="6"/>
    </row>
    <row r="641" spans="13:21" ht="12.75" customHeight="1" x14ac:dyDescent="0.2">
      <c r="M641" s="7"/>
      <c r="Q641" s="7"/>
      <c r="U641" s="6"/>
    </row>
    <row r="642" spans="13:21" ht="12.75" customHeight="1" x14ac:dyDescent="0.2">
      <c r="M642" s="7"/>
      <c r="Q642" s="7"/>
      <c r="U642" s="6"/>
    </row>
    <row r="643" spans="13:21" ht="12.75" customHeight="1" x14ac:dyDescent="0.2">
      <c r="M643" s="7"/>
      <c r="Q643" s="7"/>
      <c r="U643" s="6"/>
    </row>
    <row r="644" spans="13:21" ht="12.75" customHeight="1" x14ac:dyDescent="0.2">
      <c r="M644" s="7"/>
      <c r="Q644" s="7"/>
      <c r="U644" s="6"/>
    </row>
    <row r="645" spans="13:21" ht="12.75" customHeight="1" x14ac:dyDescent="0.2">
      <c r="M645" s="7"/>
      <c r="Q645" s="7"/>
      <c r="U645" s="6"/>
    </row>
    <row r="646" spans="13:21" ht="12.75" customHeight="1" x14ac:dyDescent="0.2">
      <c r="M646" s="7"/>
      <c r="Q646" s="7"/>
      <c r="U646" s="6"/>
    </row>
    <row r="647" spans="13:21" ht="12.75" customHeight="1" x14ac:dyDescent="0.2">
      <c r="M647" s="7"/>
      <c r="Q647" s="7"/>
      <c r="U647" s="6"/>
    </row>
    <row r="648" spans="13:21" ht="12.75" customHeight="1" x14ac:dyDescent="0.2">
      <c r="M648" s="7"/>
      <c r="Q648" s="7"/>
      <c r="U648" s="6"/>
    </row>
    <row r="649" spans="13:21" ht="12.75" customHeight="1" x14ac:dyDescent="0.2">
      <c r="M649" s="7"/>
      <c r="Q649" s="7"/>
      <c r="U649" s="6"/>
    </row>
    <row r="650" spans="13:21" ht="12.75" customHeight="1" x14ac:dyDescent="0.2">
      <c r="M650" s="7"/>
      <c r="Q650" s="7"/>
      <c r="U650" s="6"/>
    </row>
    <row r="651" spans="13:21" ht="12.75" customHeight="1" x14ac:dyDescent="0.2">
      <c r="M651" s="7"/>
      <c r="Q651" s="7"/>
      <c r="U651" s="6"/>
    </row>
    <row r="652" spans="13:21" ht="12.75" customHeight="1" x14ac:dyDescent="0.2">
      <c r="M652" s="7"/>
      <c r="Q652" s="7"/>
      <c r="U652" s="6"/>
    </row>
    <row r="653" spans="13:21" ht="12.75" customHeight="1" x14ac:dyDescent="0.2">
      <c r="M653" s="7"/>
      <c r="Q653" s="7"/>
      <c r="U653" s="6"/>
    </row>
    <row r="654" spans="13:21" ht="12.75" customHeight="1" x14ac:dyDescent="0.2">
      <c r="M654" s="7"/>
      <c r="Q654" s="7"/>
      <c r="U654" s="6"/>
    </row>
    <row r="655" spans="13:21" ht="12.75" customHeight="1" x14ac:dyDescent="0.2">
      <c r="M655" s="7"/>
      <c r="Q655" s="7"/>
      <c r="U655" s="6"/>
    </row>
    <row r="656" spans="13:21" ht="12.75" customHeight="1" x14ac:dyDescent="0.2">
      <c r="M656" s="7"/>
      <c r="Q656" s="7"/>
      <c r="U656" s="6"/>
    </row>
    <row r="657" spans="13:21" ht="12.75" customHeight="1" x14ac:dyDescent="0.2">
      <c r="M657" s="7"/>
      <c r="Q657" s="7"/>
      <c r="U657" s="6"/>
    </row>
    <row r="658" spans="13:21" ht="12.75" customHeight="1" x14ac:dyDescent="0.2">
      <c r="M658" s="7"/>
      <c r="Q658" s="7"/>
      <c r="U658" s="6"/>
    </row>
    <row r="659" spans="13:21" ht="12.75" customHeight="1" x14ac:dyDescent="0.2">
      <c r="M659" s="7"/>
      <c r="Q659" s="7"/>
      <c r="U659" s="6"/>
    </row>
    <row r="660" spans="13:21" ht="12.75" customHeight="1" x14ac:dyDescent="0.2">
      <c r="M660" s="7"/>
      <c r="Q660" s="7"/>
      <c r="U660" s="6"/>
    </row>
    <row r="661" spans="13:21" ht="12.75" customHeight="1" x14ac:dyDescent="0.2">
      <c r="M661" s="7"/>
      <c r="Q661" s="7"/>
      <c r="U661" s="6"/>
    </row>
    <row r="662" spans="13:21" ht="12.75" customHeight="1" x14ac:dyDescent="0.2">
      <c r="M662" s="7"/>
      <c r="Q662" s="7"/>
      <c r="U662" s="6"/>
    </row>
    <row r="663" spans="13:21" ht="12.75" customHeight="1" x14ac:dyDescent="0.2">
      <c r="M663" s="7"/>
      <c r="Q663" s="7"/>
      <c r="U663" s="6"/>
    </row>
    <row r="664" spans="13:21" ht="12.75" customHeight="1" x14ac:dyDescent="0.2">
      <c r="M664" s="7"/>
      <c r="Q664" s="7"/>
      <c r="U664" s="6"/>
    </row>
    <row r="665" spans="13:21" ht="12.75" customHeight="1" x14ac:dyDescent="0.2">
      <c r="M665" s="7"/>
      <c r="Q665" s="7"/>
      <c r="U665" s="6"/>
    </row>
    <row r="666" spans="13:21" ht="12.75" customHeight="1" x14ac:dyDescent="0.2">
      <c r="M666" s="7"/>
      <c r="Q666" s="7"/>
      <c r="U666" s="6"/>
    </row>
    <row r="667" spans="13:21" ht="12.75" customHeight="1" x14ac:dyDescent="0.2">
      <c r="M667" s="7"/>
      <c r="Q667" s="7"/>
      <c r="U667" s="6"/>
    </row>
    <row r="668" spans="13:21" ht="12.75" customHeight="1" x14ac:dyDescent="0.2">
      <c r="M668" s="7"/>
      <c r="Q668" s="7"/>
      <c r="U668" s="6"/>
    </row>
    <row r="669" spans="13:21" ht="12.75" customHeight="1" x14ac:dyDescent="0.2">
      <c r="M669" s="7"/>
      <c r="Q669" s="7"/>
      <c r="U669" s="6"/>
    </row>
    <row r="670" spans="13:21" ht="12.75" customHeight="1" x14ac:dyDescent="0.2">
      <c r="M670" s="7"/>
      <c r="Q670" s="7"/>
      <c r="U670" s="6"/>
    </row>
    <row r="671" spans="13:21" ht="12.75" customHeight="1" x14ac:dyDescent="0.2">
      <c r="M671" s="7"/>
      <c r="Q671" s="7"/>
      <c r="U671" s="6"/>
    </row>
    <row r="672" spans="13:21" ht="12.75" customHeight="1" x14ac:dyDescent="0.2">
      <c r="M672" s="7"/>
      <c r="Q672" s="7"/>
      <c r="U672" s="6"/>
    </row>
    <row r="673" spans="13:21" ht="12.75" customHeight="1" x14ac:dyDescent="0.2">
      <c r="M673" s="7"/>
      <c r="Q673" s="7"/>
      <c r="U673" s="6"/>
    </row>
    <row r="674" spans="13:21" ht="12.75" customHeight="1" x14ac:dyDescent="0.2">
      <c r="M674" s="7"/>
      <c r="Q674" s="7"/>
      <c r="U674" s="6"/>
    </row>
    <row r="675" spans="13:21" ht="12.75" customHeight="1" x14ac:dyDescent="0.2">
      <c r="M675" s="7"/>
      <c r="Q675" s="7"/>
      <c r="U675" s="6"/>
    </row>
    <row r="676" spans="13:21" ht="12.75" customHeight="1" x14ac:dyDescent="0.2">
      <c r="M676" s="7"/>
      <c r="Q676" s="7"/>
      <c r="U676" s="6"/>
    </row>
    <row r="677" spans="13:21" ht="12.75" customHeight="1" x14ac:dyDescent="0.2">
      <c r="M677" s="7"/>
      <c r="Q677" s="7"/>
      <c r="U677" s="6"/>
    </row>
    <row r="678" spans="13:21" ht="12.75" customHeight="1" x14ac:dyDescent="0.2">
      <c r="M678" s="7"/>
      <c r="Q678" s="7"/>
      <c r="U678" s="6"/>
    </row>
    <row r="679" spans="13:21" ht="12.75" customHeight="1" x14ac:dyDescent="0.2">
      <c r="M679" s="7"/>
      <c r="Q679" s="7"/>
      <c r="U679" s="6"/>
    </row>
    <row r="680" spans="13:21" ht="12.75" customHeight="1" x14ac:dyDescent="0.2">
      <c r="M680" s="7"/>
      <c r="Q680" s="7"/>
      <c r="U680" s="6"/>
    </row>
    <row r="681" spans="13:21" ht="12.75" customHeight="1" x14ac:dyDescent="0.2">
      <c r="M681" s="7"/>
      <c r="Q681" s="7"/>
      <c r="U681" s="6"/>
    </row>
    <row r="682" spans="13:21" ht="12.75" customHeight="1" x14ac:dyDescent="0.2">
      <c r="M682" s="7"/>
      <c r="Q682" s="7"/>
      <c r="U682" s="6"/>
    </row>
    <row r="683" spans="13:21" ht="12.75" customHeight="1" x14ac:dyDescent="0.2">
      <c r="M683" s="7"/>
      <c r="Q683" s="7"/>
      <c r="U683" s="6"/>
    </row>
    <row r="684" spans="13:21" ht="12.75" customHeight="1" x14ac:dyDescent="0.2">
      <c r="M684" s="7"/>
      <c r="Q684" s="7"/>
      <c r="U684" s="6"/>
    </row>
    <row r="685" spans="13:21" ht="12.75" customHeight="1" x14ac:dyDescent="0.2">
      <c r="M685" s="7"/>
      <c r="Q685" s="7"/>
      <c r="U685" s="6"/>
    </row>
    <row r="686" spans="13:21" ht="12.75" customHeight="1" x14ac:dyDescent="0.2">
      <c r="M686" s="7"/>
      <c r="Q686" s="7"/>
      <c r="U686" s="6"/>
    </row>
    <row r="687" spans="13:21" ht="12.75" customHeight="1" x14ac:dyDescent="0.2">
      <c r="M687" s="7"/>
      <c r="Q687" s="7"/>
      <c r="U687" s="6"/>
    </row>
    <row r="688" spans="13:21" ht="12.75" customHeight="1" x14ac:dyDescent="0.2">
      <c r="M688" s="7"/>
      <c r="Q688" s="7"/>
      <c r="U688" s="6"/>
    </row>
    <row r="689" spans="13:21" ht="12.75" customHeight="1" x14ac:dyDescent="0.2">
      <c r="M689" s="7"/>
      <c r="Q689" s="7"/>
      <c r="U689" s="6"/>
    </row>
    <row r="690" spans="13:21" ht="12.75" customHeight="1" x14ac:dyDescent="0.2">
      <c r="M690" s="7"/>
      <c r="Q690" s="7"/>
      <c r="U690" s="6"/>
    </row>
    <row r="691" spans="13:21" ht="12.75" customHeight="1" x14ac:dyDescent="0.2">
      <c r="M691" s="7"/>
      <c r="Q691" s="7"/>
      <c r="U691" s="6"/>
    </row>
    <row r="692" spans="13:21" ht="12.75" customHeight="1" x14ac:dyDescent="0.2">
      <c r="M692" s="7"/>
      <c r="Q692" s="7"/>
      <c r="U692" s="6"/>
    </row>
    <row r="693" spans="13:21" ht="12.75" customHeight="1" x14ac:dyDescent="0.2">
      <c r="M693" s="7"/>
      <c r="Q693" s="7"/>
      <c r="U693" s="6"/>
    </row>
    <row r="694" spans="13:21" ht="12.75" customHeight="1" x14ac:dyDescent="0.2">
      <c r="M694" s="7"/>
      <c r="Q694" s="7"/>
      <c r="U694" s="6"/>
    </row>
    <row r="695" spans="13:21" ht="12.75" customHeight="1" x14ac:dyDescent="0.2">
      <c r="M695" s="7"/>
      <c r="Q695" s="7"/>
      <c r="U695" s="6"/>
    </row>
    <row r="696" spans="13:21" ht="12.75" customHeight="1" x14ac:dyDescent="0.2">
      <c r="M696" s="7"/>
      <c r="Q696" s="7"/>
      <c r="U696" s="6"/>
    </row>
    <row r="697" spans="13:21" ht="12.75" customHeight="1" x14ac:dyDescent="0.2">
      <c r="M697" s="7"/>
      <c r="Q697" s="7"/>
      <c r="U697" s="6"/>
    </row>
    <row r="698" spans="13:21" ht="12.75" customHeight="1" x14ac:dyDescent="0.2">
      <c r="M698" s="7"/>
      <c r="Q698" s="7"/>
      <c r="U698" s="6"/>
    </row>
    <row r="699" spans="13:21" ht="12.75" customHeight="1" x14ac:dyDescent="0.2">
      <c r="M699" s="7"/>
      <c r="Q699" s="7"/>
      <c r="U699" s="6"/>
    </row>
    <row r="700" spans="13:21" ht="12.75" customHeight="1" x14ac:dyDescent="0.2">
      <c r="M700" s="7"/>
      <c r="Q700" s="7"/>
      <c r="U700" s="6"/>
    </row>
    <row r="701" spans="13:21" ht="12.75" customHeight="1" x14ac:dyDescent="0.2">
      <c r="M701" s="7"/>
      <c r="Q701" s="7"/>
      <c r="U701" s="6"/>
    </row>
    <row r="702" spans="13:21" ht="12.75" customHeight="1" x14ac:dyDescent="0.2">
      <c r="M702" s="7"/>
      <c r="Q702" s="7"/>
      <c r="U702" s="6"/>
    </row>
    <row r="703" spans="13:21" ht="12.75" customHeight="1" x14ac:dyDescent="0.2">
      <c r="M703" s="7"/>
      <c r="Q703" s="7"/>
      <c r="U703" s="6"/>
    </row>
    <row r="704" spans="13:21" ht="12.75" customHeight="1" x14ac:dyDescent="0.2">
      <c r="M704" s="7"/>
      <c r="Q704" s="7"/>
      <c r="U704" s="6"/>
    </row>
    <row r="705" spans="13:21" ht="12.75" customHeight="1" x14ac:dyDescent="0.2">
      <c r="M705" s="7"/>
      <c r="Q705" s="7"/>
      <c r="U705" s="6"/>
    </row>
    <row r="706" spans="13:21" ht="12.75" customHeight="1" x14ac:dyDescent="0.2">
      <c r="M706" s="7"/>
      <c r="Q706" s="7"/>
      <c r="U706" s="6"/>
    </row>
    <row r="707" spans="13:21" ht="12.75" customHeight="1" x14ac:dyDescent="0.2">
      <c r="M707" s="7"/>
      <c r="Q707" s="7"/>
      <c r="U707" s="6"/>
    </row>
    <row r="708" spans="13:21" ht="12.75" customHeight="1" x14ac:dyDescent="0.2">
      <c r="M708" s="7"/>
      <c r="Q708" s="7"/>
      <c r="U708" s="6"/>
    </row>
    <row r="709" spans="13:21" ht="12.75" customHeight="1" x14ac:dyDescent="0.2">
      <c r="M709" s="7"/>
      <c r="Q709" s="7"/>
      <c r="U709" s="6"/>
    </row>
    <row r="710" spans="13:21" ht="12.75" customHeight="1" x14ac:dyDescent="0.2">
      <c r="M710" s="7"/>
      <c r="Q710" s="7"/>
      <c r="U710" s="6"/>
    </row>
    <row r="711" spans="13:21" ht="12.75" customHeight="1" x14ac:dyDescent="0.2">
      <c r="M711" s="7"/>
      <c r="Q711" s="7"/>
      <c r="U711" s="6"/>
    </row>
    <row r="712" spans="13:21" ht="12.75" customHeight="1" x14ac:dyDescent="0.2">
      <c r="M712" s="7"/>
      <c r="Q712" s="7"/>
      <c r="U712" s="6"/>
    </row>
    <row r="713" spans="13:21" ht="12.75" customHeight="1" x14ac:dyDescent="0.2">
      <c r="M713" s="7"/>
      <c r="Q713" s="7"/>
      <c r="U713" s="6"/>
    </row>
    <row r="714" spans="13:21" ht="12.75" customHeight="1" x14ac:dyDescent="0.2">
      <c r="M714" s="7"/>
      <c r="Q714" s="7"/>
      <c r="U714" s="6"/>
    </row>
    <row r="715" spans="13:21" ht="12.75" customHeight="1" x14ac:dyDescent="0.2">
      <c r="M715" s="7"/>
      <c r="Q715" s="7"/>
      <c r="U715" s="6"/>
    </row>
    <row r="716" spans="13:21" ht="12.75" customHeight="1" x14ac:dyDescent="0.2">
      <c r="M716" s="7"/>
      <c r="Q716" s="7"/>
      <c r="U716" s="6"/>
    </row>
    <row r="717" spans="13:21" ht="12.75" customHeight="1" x14ac:dyDescent="0.2">
      <c r="M717" s="7"/>
      <c r="Q717" s="7"/>
      <c r="U717" s="6"/>
    </row>
    <row r="718" spans="13:21" ht="12.75" customHeight="1" x14ac:dyDescent="0.2">
      <c r="M718" s="7"/>
      <c r="Q718" s="7"/>
      <c r="U718" s="6"/>
    </row>
    <row r="719" spans="13:21" ht="12.75" customHeight="1" x14ac:dyDescent="0.2">
      <c r="M719" s="7"/>
      <c r="Q719" s="7"/>
      <c r="U719" s="6"/>
    </row>
    <row r="720" spans="13:21" ht="12.75" customHeight="1" x14ac:dyDescent="0.2">
      <c r="M720" s="7"/>
      <c r="Q720" s="7"/>
      <c r="U720" s="6"/>
    </row>
    <row r="721" spans="13:21" ht="12.75" customHeight="1" x14ac:dyDescent="0.2">
      <c r="M721" s="7"/>
      <c r="Q721" s="7"/>
      <c r="U721" s="6"/>
    </row>
    <row r="722" spans="13:21" ht="12.75" customHeight="1" x14ac:dyDescent="0.2">
      <c r="M722" s="7"/>
      <c r="Q722" s="7"/>
      <c r="U722" s="6"/>
    </row>
    <row r="723" spans="13:21" ht="12.75" customHeight="1" x14ac:dyDescent="0.2">
      <c r="M723" s="7"/>
      <c r="Q723" s="7"/>
      <c r="U723" s="6"/>
    </row>
    <row r="724" spans="13:21" ht="12.75" customHeight="1" x14ac:dyDescent="0.2">
      <c r="M724" s="7"/>
      <c r="Q724" s="7"/>
      <c r="U724" s="6"/>
    </row>
    <row r="725" spans="13:21" ht="12.75" customHeight="1" x14ac:dyDescent="0.2">
      <c r="M725" s="7"/>
      <c r="Q725" s="7"/>
      <c r="U725" s="6"/>
    </row>
    <row r="726" spans="13:21" ht="12.75" customHeight="1" x14ac:dyDescent="0.2">
      <c r="M726" s="7"/>
      <c r="Q726" s="7"/>
      <c r="U726" s="6"/>
    </row>
    <row r="727" spans="13:21" ht="12.75" customHeight="1" x14ac:dyDescent="0.2">
      <c r="M727" s="7"/>
      <c r="Q727" s="7"/>
      <c r="U727" s="6"/>
    </row>
    <row r="728" spans="13:21" ht="12.75" customHeight="1" x14ac:dyDescent="0.2">
      <c r="M728" s="7"/>
      <c r="Q728" s="7"/>
      <c r="U728" s="6"/>
    </row>
    <row r="729" spans="13:21" ht="12.75" customHeight="1" x14ac:dyDescent="0.2">
      <c r="M729" s="7"/>
      <c r="Q729" s="7"/>
      <c r="U729" s="6"/>
    </row>
    <row r="730" spans="13:21" ht="12.75" customHeight="1" x14ac:dyDescent="0.2">
      <c r="M730" s="7"/>
      <c r="Q730" s="7"/>
      <c r="U730" s="6"/>
    </row>
    <row r="731" spans="13:21" ht="12.75" customHeight="1" x14ac:dyDescent="0.2">
      <c r="M731" s="7"/>
      <c r="Q731" s="7"/>
      <c r="U731" s="6"/>
    </row>
    <row r="732" spans="13:21" ht="12.75" customHeight="1" x14ac:dyDescent="0.2">
      <c r="M732" s="7"/>
      <c r="Q732" s="7"/>
      <c r="U732" s="6"/>
    </row>
    <row r="733" spans="13:21" ht="12.75" customHeight="1" x14ac:dyDescent="0.2">
      <c r="M733" s="7"/>
      <c r="Q733" s="7"/>
      <c r="U733" s="6"/>
    </row>
    <row r="734" spans="13:21" ht="12.75" customHeight="1" x14ac:dyDescent="0.2">
      <c r="M734" s="7"/>
      <c r="Q734" s="7"/>
      <c r="U734" s="6"/>
    </row>
    <row r="735" spans="13:21" ht="12.75" customHeight="1" x14ac:dyDescent="0.2">
      <c r="M735" s="7"/>
      <c r="Q735" s="7"/>
      <c r="U735" s="6"/>
    </row>
    <row r="736" spans="13:21" ht="12.75" customHeight="1" x14ac:dyDescent="0.2">
      <c r="M736" s="7"/>
      <c r="Q736" s="7"/>
      <c r="U736" s="6"/>
    </row>
    <row r="737" spans="13:21" ht="12.75" customHeight="1" x14ac:dyDescent="0.2">
      <c r="M737" s="7"/>
      <c r="Q737" s="7"/>
      <c r="U737" s="6"/>
    </row>
    <row r="738" spans="13:21" ht="12.75" customHeight="1" x14ac:dyDescent="0.2">
      <c r="M738" s="7"/>
      <c r="Q738" s="7"/>
      <c r="U738" s="6"/>
    </row>
    <row r="739" spans="13:21" ht="12.75" customHeight="1" x14ac:dyDescent="0.2">
      <c r="M739" s="7"/>
      <c r="Q739" s="7"/>
      <c r="U739" s="6"/>
    </row>
    <row r="740" spans="13:21" ht="12.75" customHeight="1" x14ac:dyDescent="0.2">
      <c r="M740" s="7"/>
      <c r="Q740" s="7"/>
      <c r="U740" s="6"/>
    </row>
    <row r="741" spans="13:21" ht="12.75" customHeight="1" x14ac:dyDescent="0.2">
      <c r="M741" s="7"/>
      <c r="Q741" s="7"/>
      <c r="U741" s="6"/>
    </row>
    <row r="742" spans="13:21" ht="12.75" customHeight="1" x14ac:dyDescent="0.2">
      <c r="M742" s="7"/>
      <c r="Q742" s="7"/>
      <c r="U742" s="6"/>
    </row>
    <row r="743" spans="13:21" ht="12.75" customHeight="1" x14ac:dyDescent="0.2">
      <c r="M743" s="7"/>
      <c r="Q743" s="7"/>
      <c r="U743" s="6"/>
    </row>
    <row r="744" spans="13:21" ht="12.75" customHeight="1" x14ac:dyDescent="0.2">
      <c r="M744" s="7"/>
      <c r="Q744" s="7"/>
      <c r="U744" s="6"/>
    </row>
    <row r="745" spans="13:21" ht="12.75" customHeight="1" x14ac:dyDescent="0.2">
      <c r="M745" s="7"/>
      <c r="Q745" s="7"/>
      <c r="U745" s="6"/>
    </row>
    <row r="746" spans="13:21" ht="12.75" customHeight="1" x14ac:dyDescent="0.2">
      <c r="M746" s="7"/>
      <c r="Q746" s="7"/>
      <c r="U746" s="6"/>
    </row>
    <row r="747" spans="13:21" ht="12.75" customHeight="1" x14ac:dyDescent="0.2">
      <c r="M747" s="7"/>
      <c r="Q747" s="7"/>
      <c r="U747" s="6"/>
    </row>
    <row r="748" spans="13:21" ht="12.75" customHeight="1" x14ac:dyDescent="0.2">
      <c r="M748" s="7"/>
      <c r="Q748" s="7"/>
      <c r="U748" s="6"/>
    </row>
    <row r="749" spans="13:21" ht="12.75" customHeight="1" x14ac:dyDescent="0.2">
      <c r="M749" s="7"/>
      <c r="Q749" s="7"/>
      <c r="U749" s="6"/>
    </row>
    <row r="750" spans="13:21" ht="12.75" customHeight="1" x14ac:dyDescent="0.2">
      <c r="M750" s="7"/>
      <c r="Q750" s="7"/>
      <c r="U750" s="6"/>
    </row>
    <row r="751" spans="13:21" ht="12.75" customHeight="1" x14ac:dyDescent="0.2">
      <c r="M751" s="7"/>
      <c r="Q751" s="7"/>
      <c r="U751" s="6"/>
    </row>
    <row r="752" spans="13:21" ht="12.75" customHeight="1" x14ac:dyDescent="0.2">
      <c r="M752" s="7"/>
      <c r="Q752" s="7"/>
      <c r="U752" s="6"/>
    </row>
    <row r="753" spans="13:21" ht="12.75" customHeight="1" x14ac:dyDescent="0.2">
      <c r="M753" s="7"/>
      <c r="Q753" s="7"/>
      <c r="U753" s="6"/>
    </row>
    <row r="754" spans="13:21" ht="12.75" customHeight="1" x14ac:dyDescent="0.2">
      <c r="M754" s="7"/>
      <c r="Q754" s="7"/>
      <c r="U754" s="6"/>
    </row>
    <row r="755" spans="13:21" ht="12.75" customHeight="1" x14ac:dyDescent="0.2">
      <c r="M755" s="7"/>
      <c r="Q755" s="7"/>
      <c r="U755" s="6"/>
    </row>
    <row r="756" spans="13:21" ht="12.75" customHeight="1" x14ac:dyDescent="0.2">
      <c r="M756" s="7"/>
      <c r="Q756" s="7"/>
      <c r="U756" s="6"/>
    </row>
    <row r="757" spans="13:21" ht="12.75" customHeight="1" x14ac:dyDescent="0.2">
      <c r="M757" s="7"/>
      <c r="Q757" s="7"/>
      <c r="U757" s="6"/>
    </row>
    <row r="758" spans="13:21" ht="12.75" customHeight="1" x14ac:dyDescent="0.2">
      <c r="M758" s="7"/>
      <c r="Q758" s="7"/>
      <c r="U758" s="6"/>
    </row>
    <row r="759" spans="13:21" ht="12.75" customHeight="1" x14ac:dyDescent="0.2">
      <c r="M759" s="7"/>
      <c r="Q759" s="7"/>
      <c r="U759" s="6"/>
    </row>
    <row r="760" spans="13:21" ht="12.75" customHeight="1" x14ac:dyDescent="0.2">
      <c r="M760" s="7"/>
      <c r="Q760" s="7"/>
      <c r="U760" s="6"/>
    </row>
    <row r="761" spans="13:21" ht="12.75" customHeight="1" x14ac:dyDescent="0.2">
      <c r="M761" s="7"/>
      <c r="Q761" s="7"/>
      <c r="U761" s="6"/>
    </row>
    <row r="762" spans="13:21" ht="12.75" customHeight="1" x14ac:dyDescent="0.2">
      <c r="M762" s="7"/>
      <c r="Q762" s="7"/>
      <c r="U762" s="6"/>
    </row>
    <row r="763" spans="13:21" ht="12.75" customHeight="1" x14ac:dyDescent="0.2">
      <c r="M763" s="7"/>
      <c r="Q763" s="7"/>
      <c r="U763" s="6"/>
    </row>
    <row r="764" spans="13:21" ht="12.75" customHeight="1" x14ac:dyDescent="0.2">
      <c r="M764" s="7"/>
      <c r="Q764" s="7"/>
      <c r="U764" s="6"/>
    </row>
    <row r="765" spans="13:21" ht="12.75" customHeight="1" x14ac:dyDescent="0.2">
      <c r="M765" s="7"/>
      <c r="Q765" s="7"/>
      <c r="U765" s="6"/>
    </row>
    <row r="766" spans="13:21" ht="12.75" customHeight="1" x14ac:dyDescent="0.2">
      <c r="M766" s="7"/>
      <c r="Q766" s="7"/>
      <c r="U766" s="6"/>
    </row>
    <row r="767" spans="13:21" ht="12.75" customHeight="1" x14ac:dyDescent="0.2">
      <c r="M767" s="7"/>
      <c r="Q767" s="7"/>
      <c r="U767" s="6"/>
    </row>
    <row r="768" spans="13:21" ht="12.75" customHeight="1" x14ac:dyDescent="0.2">
      <c r="M768" s="7"/>
      <c r="Q768" s="7"/>
      <c r="U768" s="6"/>
    </row>
    <row r="769" spans="13:21" ht="12.75" customHeight="1" x14ac:dyDescent="0.2">
      <c r="M769" s="7"/>
      <c r="Q769" s="7"/>
      <c r="U769" s="6"/>
    </row>
    <row r="770" spans="13:21" ht="12.75" customHeight="1" x14ac:dyDescent="0.2">
      <c r="M770" s="7"/>
      <c r="Q770" s="7"/>
      <c r="U770" s="6"/>
    </row>
    <row r="771" spans="13:21" ht="12.75" customHeight="1" x14ac:dyDescent="0.2">
      <c r="M771" s="7"/>
      <c r="Q771" s="7"/>
      <c r="U771" s="6"/>
    </row>
    <row r="772" spans="13:21" ht="12.75" customHeight="1" x14ac:dyDescent="0.2">
      <c r="M772" s="7"/>
      <c r="Q772" s="7"/>
      <c r="U772" s="6"/>
    </row>
    <row r="773" spans="13:21" ht="12.75" customHeight="1" x14ac:dyDescent="0.2">
      <c r="M773" s="7"/>
      <c r="Q773" s="7"/>
      <c r="U773" s="6"/>
    </row>
    <row r="774" spans="13:21" ht="12.75" customHeight="1" x14ac:dyDescent="0.2">
      <c r="M774" s="7"/>
      <c r="Q774" s="7"/>
      <c r="U774" s="6"/>
    </row>
    <row r="775" spans="13:21" ht="12.75" customHeight="1" x14ac:dyDescent="0.2">
      <c r="M775" s="7"/>
      <c r="Q775" s="7"/>
      <c r="U775" s="6"/>
    </row>
    <row r="776" spans="13:21" ht="12.75" customHeight="1" x14ac:dyDescent="0.2">
      <c r="M776" s="7"/>
      <c r="Q776" s="7"/>
      <c r="U776" s="6"/>
    </row>
    <row r="777" spans="13:21" ht="12.75" customHeight="1" x14ac:dyDescent="0.2">
      <c r="M777" s="7"/>
      <c r="Q777" s="7"/>
      <c r="U777" s="6"/>
    </row>
    <row r="778" spans="13:21" ht="12.75" customHeight="1" x14ac:dyDescent="0.2">
      <c r="M778" s="7"/>
      <c r="Q778" s="7"/>
      <c r="U778" s="6"/>
    </row>
    <row r="779" spans="13:21" ht="12.75" customHeight="1" x14ac:dyDescent="0.2">
      <c r="M779" s="7"/>
      <c r="Q779" s="7"/>
      <c r="U779" s="6"/>
    </row>
    <row r="780" spans="13:21" ht="12.75" customHeight="1" x14ac:dyDescent="0.2">
      <c r="M780" s="7"/>
      <c r="Q780" s="7"/>
      <c r="U780" s="6"/>
    </row>
    <row r="781" spans="13:21" ht="12.75" customHeight="1" x14ac:dyDescent="0.2">
      <c r="M781" s="7"/>
      <c r="Q781" s="7"/>
      <c r="U781" s="6"/>
    </row>
    <row r="782" spans="13:21" ht="12.75" customHeight="1" x14ac:dyDescent="0.2">
      <c r="M782" s="7"/>
      <c r="Q782" s="7"/>
      <c r="U782" s="6"/>
    </row>
    <row r="783" spans="13:21" ht="12.75" customHeight="1" x14ac:dyDescent="0.2">
      <c r="M783" s="7"/>
      <c r="Q783" s="7"/>
      <c r="U783" s="6"/>
    </row>
    <row r="784" spans="13:21" ht="12.75" customHeight="1" x14ac:dyDescent="0.2">
      <c r="M784" s="7"/>
      <c r="Q784" s="7"/>
      <c r="U784" s="6"/>
    </row>
    <row r="785" spans="13:21" ht="12.75" customHeight="1" x14ac:dyDescent="0.2">
      <c r="M785" s="7"/>
      <c r="Q785" s="7"/>
      <c r="U785" s="6"/>
    </row>
    <row r="786" spans="13:21" ht="12.75" customHeight="1" x14ac:dyDescent="0.2">
      <c r="M786" s="7"/>
      <c r="Q786" s="7"/>
      <c r="U786" s="6"/>
    </row>
    <row r="787" spans="13:21" ht="12.75" customHeight="1" x14ac:dyDescent="0.2">
      <c r="M787" s="7"/>
      <c r="Q787" s="7"/>
      <c r="U787" s="6"/>
    </row>
    <row r="788" spans="13:21" ht="12.75" customHeight="1" x14ac:dyDescent="0.2">
      <c r="M788" s="7"/>
      <c r="Q788" s="7"/>
      <c r="U788" s="6"/>
    </row>
    <row r="789" spans="13:21" ht="12.75" customHeight="1" x14ac:dyDescent="0.2">
      <c r="M789" s="7"/>
      <c r="Q789" s="7"/>
      <c r="U789" s="6"/>
    </row>
    <row r="790" spans="13:21" ht="12.75" customHeight="1" x14ac:dyDescent="0.2">
      <c r="M790" s="7"/>
      <c r="Q790" s="7"/>
      <c r="U790" s="6"/>
    </row>
    <row r="791" spans="13:21" ht="12.75" customHeight="1" x14ac:dyDescent="0.2">
      <c r="M791" s="7"/>
      <c r="Q791" s="7"/>
      <c r="U791" s="6"/>
    </row>
    <row r="792" spans="13:21" ht="12.75" customHeight="1" x14ac:dyDescent="0.2">
      <c r="M792" s="7"/>
      <c r="Q792" s="7"/>
      <c r="U792" s="6"/>
    </row>
    <row r="793" spans="13:21" ht="12.75" customHeight="1" x14ac:dyDescent="0.2">
      <c r="M793" s="7"/>
      <c r="Q793" s="7"/>
      <c r="U793" s="6"/>
    </row>
    <row r="794" spans="13:21" ht="12.75" customHeight="1" x14ac:dyDescent="0.2">
      <c r="M794" s="7"/>
      <c r="Q794" s="7"/>
      <c r="U794" s="6"/>
    </row>
    <row r="795" spans="13:21" ht="12.75" customHeight="1" x14ac:dyDescent="0.2">
      <c r="M795" s="7"/>
      <c r="Q795" s="7"/>
      <c r="U795" s="6"/>
    </row>
    <row r="796" spans="13:21" ht="12.75" customHeight="1" x14ac:dyDescent="0.2">
      <c r="M796" s="7"/>
      <c r="Q796" s="7"/>
      <c r="U796" s="6"/>
    </row>
    <row r="797" spans="13:21" ht="12.75" customHeight="1" x14ac:dyDescent="0.2">
      <c r="M797" s="7"/>
      <c r="Q797" s="7"/>
      <c r="U797" s="6"/>
    </row>
    <row r="798" spans="13:21" ht="12.75" customHeight="1" x14ac:dyDescent="0.2">
      <c r="M798" s="7"/>
      <c r="Q798" s="7"/>
      <c r="U798" s="6"/>
    </row>
    <row r="799" spans="13:21" ht="12.75" customHeight="1" x14ac:dyDescent="0.2">
      <c r="M799" s="7"/>
      <c r="Q799" s="7"/>
      <c r="U799" s="6"/>
    </row>
    <row r="800" spans="13:21" ht="12.75" customHeight="1" x14ac:dyDescent="0.2">
      <c r="M800" s="7"/>
      <c r="Q800" s="7"/>
      <c r="U800" s="6"/>
    </row>
    <row r="801" spans="13:21" ht="12.75" customHeight="1" x14ac:dyDescent="0.2">
      <c r="M801" s="7"/>
      <c r="Q801" s="7"/>
      <c r="U801" s="6"/>
    </row>
    <row r="802" spans="13:21" ht="12.75" customHeight="1" x14ac:dyDescent="0.2">
      <c r="M802" s="7"/>
      <c r="Q802" s="7"/>
      <c r="U802" s="6"/>
    </row>
    <row r="803" spans="13:21" ht="12.75" customHeight="1" x14ac:dyDescent="0.2">
      <c r="M803" s="7"/>
      <c r="Q803" s="7"/>
      <c r="U803" s="6"/>
    </row>
    <row r="804" spans="13:21" ht="12.75" customHeight="1" x14ac:dyDescent="0.2">
      <c r="M804" s="7"/>
      <c r="Q804" s="7"/>
      <c r="U804" s="6"/>
    </row>
    <row r="805" spans="13:21" ht="12.75" customHeight="1" x14ac:dyDescent="0.2">
      <c r="M805" s="7"/>
      <c r="Q805" s="7"/>
      <c r="U805" s="6"/>
    </row>
    <row r="806" spans="13:21" ht="12.75" customHeight="1" x14ac:dyDescent="0.2">
      <c r="M806" s="7"/>
      <c r="Q806" s="7"/>
      <c r="U806" s="6"/>
    </row>
    <row r="807" spans="13:21" ht="12.75" customHeight="1" x14ac:dyDescent="0.2">
      <c r="M807" s="7"/>
      <c r="Q807" s="7"/>
      <c r="U807" s="6"/>
    </row>
    <row r="808" spans="13:21" ht="12.75" customHeight="1" x14ac:dyDescent="0.2">
      <c r="M808" s="7"/>
      <c r="Q808" s="7"/>
      <c r="U808" s="6"/>
    </row>
    <row r="809" spans="13:21" ht="12.75" customHeight="1" x14ac:dyDescent="0.2">
      <c r="M809" s="7"/>
      <c r="Q809" s="7"/>
      <c r="U809" s="6"/>
    </row>
    <row r="810" spans="13:21" ht="12.75" customHeight="1" x14ac:dyDescent="0.2">
      <c r="M810" s="7"/>
      <c r="Q810" s="7"/>
      <c r="U810" s="6"/>
    </row>
    <row r="811" spans="13:21" ht="12.75" customHeight="1" x14ac:dyDescent="0.2">
      <c r="M811" s="7"/>
      <c r="Q811" s="7"/>
      <c r="U811" s="6"/>
    </row>
    <row r="812" spans="13:21" ht="12.75" customHeight="1" x14ac:dyDescent="0.2">
      <c r="M812" s="7"/>
      <c r="Q812" s="7"/>
      <c r="U812" s="6"/>
    </row>
    <row r="813" spans="13:21" ht="12.75" customHeight="1" x14ac:dyDescent="0.2">
      <c r="M813" s="7"/>
      <c r="Q813" s="7"/>
      <c r="U813" s="6"/>
    </row>
    <row r="814" spans="13:21" ht="12.75" customHeight="1" x14ac:dyDescent="0.2">
      <c r="M814" s="7"/>
      <c r="Q814" s="7"/>
      <c r="U814" s="6"/>
    </row>
    <row r="815" spans="13:21" ht="12.75" customHeight="1" x14ac:dyDescent="0.2">
      <c r="M815" s="7"/>
      <c r="Q815" s="7"/>
      <c r="U815" s="6"/>
    </row>
    <row r="816" spans="13:21" ht="12.75" customHeight="1" x14ac:dyDescent="0.2">
      <c r="M816" s="7"/>
      <c r="Q816" s="7"/>
      <c r="U816" s="6"/>
    </row>
    <row r="817" spans="13:21" ht="12.75" customHeight="1" x14ac:dyDescent="0.2">
      <c r="M817" s="7"/>
      <c r="Q817" s="7"/>
      <c r="U817" s="6"/>
    </row>
    <row r="818" spans="13:21" ht="12.75" customHeight="1" x14ac:dyDescent="0.2">
      <c r="M818" s="7"/>
      <c r="Q818" s="7"/>
      <c r="U818" s="6"/>
    </row>
    <row r="819" spans="13:21" ht="12.75" customHeight="1" x14ac:dyDescent="0.2">
      <c r="M819" s="7"/>
      <c r="Q819" s="7"/>
      <c r="U819" s="6"/>
    </row>
    <row r="820" spans="13:21" ht="12.75" customHeight="1" x14ac:dyDescent="0.2">
      <c r="M820" s="7"/>
      <c r="Q820" s="7"/>
      <c r="U820" s="6"/>
    </row>
    <row r="821" spans="13:21" ht="12.75" customHeight="1" x14ac:dyDescent="0.2">
      <c r="M821" s="7"/>
      <c r="Q821" s="7"/>
      <c r="U821" s="6"/>
    </row>
    <row r="822" spans="13:21" ht="12.75" customHeight="1" x14ac:dyDescent="0.2">
      <c r="M822" s="7"/>
      <c r="Q822" s="7"/>
      <c r="U822" s="6"/>
    </row>
    <row r="823" spans="13:21" ht="12.75" customHeight="1" x14ac:dyDescent="0.2">
      <c r="M823" s="7"/>
      <c r="Q823" s="7"/>
      <c r="U823" s="6"/>
    </row>
    <row r="824" spans="13:21" ht="12.75" customHeight="1" x14ac:dyDescent="0.2">
      <c r="M824" s="7"/>
      <c r="Q824" s="7"/>
      <c r="U824" s="6"/>
    </row>
    <row r="825" spans="13:21" ht="12.75" customHeight="1" x14ac:dyDescent="0.2">
      <c r="M825" s="7"/>
      <c r="Q825" s="7"/>
      <c r="U825" s="6"/>
    </row>
    <row r="826" spans="13:21" ht="12.75" customHeight="1" x14ac:dyDescent="0.2">
      <c r="M826" s="7"/>
      <c r="Q826" s="7"/>
      <c r="U826" s="6"/>
    </row>
    <row r="827" spans="13:21" ht="12.75" customHeight="1" x14ac:dyDescent="0.2">
      <c r="M827" s="7"/>
      <c r="Q827" s="7"/>
      <c r="U827" s="6"/>
    </row>
    <row r="828" spans="13:21" ht="12.75" customHeight="1" x14ac:dyDescent="0.2">
      <c r="M828" s="7"/>
      <c r="Q828" s="7"/>
      <c r="U828" s="6"/>
    </row>
    <row r="829" spans="13:21" ht="12.75" customHeight="1" x14ac:dyDescent="0.2">
      <c r="M829" s="7"/>
      <c r="Q829" s="7"/>
      <c r="U829" s="6"/>
    </row>
    <row r="830" spans="13:21" ht="12.75" customHeight="1" x14ac:dyDescent="0.2">
      <c r="M830" s="7"/>
      <c r="Q830" s="7"/>
      <c r="U830" s="6"/>
    </row>
    <row r="831" spans="13:21" ht="12.75" customHeight="1" x14ac:dyDescent="0.2">
      <c r="M831" s="7"/>
      <c r="Q831" s="7"/>
      <c r="U831" s="6"/>
    </row>
    <row r="832" spans="13:21" ht="12.75" customHeight="1" x14ac:dyDescent="0.2">
      <c r="M832" s="7"/>
      <c r="Q832" s="7"/>
      <c r="U832" s="6"/>
    </row>
    <row r="833" spans="13:21" ht="12.75" customHeight="1" x14ac:dyDescent="0.2">
      <c r="M833" s="7"/>
      <c r="Q833" s="7"/>
      <c r="U833" s="6"/>
    </row>
    <row r="834" spans="13:21" ht="12.75" customHeight="1" x14ac:dyDescent="0.2">
      <c r="M834" s="7"/>
      <c r="Q834" s="7"/>
      <c r="U834" s="6"/>
    </row>
    <row r="835" spans="13:21" ht="12.75" customHeight="1" x14ac:dyDescent="0.2">
      <c r="M835" s="7"/>
      <c r="Q835" s="7"/>
      <c r="U835" s="6"/>
    </row>
    <row r="836" spans="13:21" ht="12.75" customHeight="1" x14ac:dyDescent="0.2">
      <c r="M836" s="7"/>
      <c r="Q836" s="7"/>
      <c r="U836" s="6"/>
    </row>
    <row r="837" spans="13:21" ht="12.75" customHeight="1" x14ac:dyDescent="0.2">
      <c r="M837" s="7"/>
      <c r="Q837" s="7"/>
      <c r="U837" s="6"/>
    </row>
    <row r="838" spans="13:21" ht="12.75" customHeight="1" x14ac:dyDescent="0.2">
      <c r="M838" s="7"/>
      <c r="Q838" s="7"/>
      <c r="U838" s="6"/>
    </row>
    <row r="839" spans="13:21" ht="12.75" customHeight="1" x14ac:dyDescent="0.2">
      <c r="M839" s="7"/>
      <c r="Q839" s="7"/>
      <c r="U839" s="6"/>
    </row>
    <row r="840" spans="13:21" ht="12.75" customHeight="1" x14ac:dyDescent="0.2">
      <c r="M840" s="7"/>
      <c r="Q840" s="7"/>
      <c r="U840" s="6"/>
    </row>
    <row r="841" spans="13:21" ht="12.75" customHeight="1" x14ac:dyDescent="0.2">
      <c r="M841" s="7"/>
      <c r="Q841" s="7"/>
      <c r="U841" s="6"/>
    </row>
    <row r="842" spans="13:21" ht="12.75" customHeight="1" x14ac:dyDescent="0.2">
      <c r="M842" s="7"/>
      <c r="Q842" s="7"/>
      <c r="U842" s="6"/>
    </row>
    <row r="843" spans="13:21" ht="12.75" customHeight="1" x14ac:dyDescent="0.2">
      <c r="M843" s="7"/>
      <c r="Q843" s="7"/>
      <c r="U843" s="6"/>
    </row>
    <row r="844" spans="13:21" ht="12.75" customHeight="1" x14ac:dyDescent="0.2">
      <c r="M844" s="7"/>
      <c r="Q844" s="7"/>
      <c r="U844" s="6"/>
    </row>
    <row r="845" spans="13:21" ht="12.75" customHeight="1" x14ac:dyDescent="0.2">
      <c r="M845" s="7"/>
      <c r="Q845" s="7"/>
      <c r="U845" s="6"/>
    </row>
    <row r="846" spans="13:21" ht="12.75" customHeight="1" x14ac:dyDescent="0.2">
      <c r="M846" s="7"/>
      <c r="Q846" s="7"/>
      <c r="U846" s="6"/>
    </row>
    <row r="847" spans="13:21" ht="12.75" customHeight="1" x14ac:dyDescent="0.2">
      <c r="M847" s="7"/>
      <c r="Q847" s="7"/>
      <c r="U847" s="6"/>
    </row>
    <row r="848" spans="13:21" ht="12.75" customHeight="1" x14ac:dyDescent="0.2">
      <c r="M848" s="7"/>
      <c r="Q848" s="7"/>
      <c r="U848" s="6"/>
    </row>
    <row r="849" spans="13:21" ht="12.75" customHeight="1" x14ac:dyDescent="0.2">
      <c r="M849" s="7"/>
      <c r="Q849" s="7"/>
      <c r="U849" s="6"/>
    </row>
    <row r="850" spans="13:21" ht="12.75" customHeight="1" x14ac:dyDescent="0.2">
      <c r="M850" s="7"/>
      <c r="Q850" s="7"/>
      <c r="U850" s="6"/>
    </row>
    <row r="851" spans="13:21" ht="12.75" customHeight="1" x14ac:dyDescent="0.2">
      <c r="M851" s="7"/>
      <c r="Q851" s="7"/>
      <c r="U851" s="6"/>
    </row>
    <row r="852" spans="13:21" ht="12.75" customHeight="1" x14ac:dyDescent="0.2">
      <c r="M852" s="7"/>
      <c r="Q852" s="7"/>
      <c r="U852" s="6"/>
    </row>
    <row r="853" spans="13:21" ht="12.75" customHeight="1" x14ac:dyDescent="0.2">
      <c r="M853" s="7"/>
      <c r="Q853" s="7"/>
      <c r="U853" s="6"/>
    </row>
    <row r="854" spans="13:21" ht="12.75" customHeight="1" x14ac:dyDescent="0.2">
      <c r="M854" s="7"/>
      <c r="Q854" s="7"/>
      <c r="U854" s="6"/>
    </row>
    <row r="855" spans="13:21" ht="12.75" customHeight="1" x14ac:dyDescent="0.2">
      <c r="M855" s="7"/>
      <c r="Q855" s="7"/>
      <c r="U855" s="6"/>
    </row>
    <row r="856" spans="13:21" ht="12.75" customHeight="1" x14ac:dyDescent="0.2">
      <c r="M856" s="7"/>
      <c r="Q856" s="7"/>
      <c r="U856" s="6"/>
    </row>
    <row r="857" spans="13:21" ht="12.75" customHeight="1" x14ac:dyDescent="0.2">
      <c r="M857" s="7"/>
      <c r="Q857" s="7"/>
      <c r="U857" s="6"/>
    </row>
    <row r="858" spans="13:21" ht="12.75" customHeight="1" x14ac:dyDescent="0.2">
      <c r="M858" s="7"/>
      <c r="Q858" s="7"/>
      <c r="U858" s="6"/>
    </row>
    <row r="859" spans="13:21" ht="12.75" customHeight="1" x14ac:dyDescent="0.2">
      <c r="M859" s="7"/>
      <c r="Q859" s="7"/>
      <c r="U859" s="6"/>
    </row>
    <row r="860" spans="13:21" ht="12.75" customHeight="1" x14ac:dyDescent="0.2">
      <c r="M860" s="7"/>
      <c r="Q860" s="7"/>
      <c r="U860" s="6"/>
    </row>
    <row r="861" spans="13:21" ht="12.75" customHeight="1" x14ac:dyDescent="0.2">
      <c r="M861" s="7"/>
      <c r="Q861" s="7"/>
      <c r="U861" s="6"/>
    </row>
    <row r="862" spans="13:21" ht="12.75" customHeight="1" x14ac:dyDescent="0.2">
      <c r="M862" s="7"/>
      <c r="Q862" s="7"/>
      <c r="U862" s="6"/>
    </row>
    <row r="863" spans="13:21" ht="12.75" customHeight="1" x14ac:dyDescent="0.2">
      <c r="M863" s="7"/>
      <c r="Q863" s="7"/>
      <c r="U863" s="6"/>
    </row>
    <row r="864" spans="13:21" ht="12.75" customHeight="1" x14ac:dyDescent="0.2">
      <c r="M864" s="7"/>
      <c r="Q864" s="7"/>
      <c r="U864" s="6"/>
    </row>
    <row r="865" spans="13:21" ht="12.75" customHeight="1" x14ac:dyDescent="0.2">
      <c r="M865" s="7"/>
      <c r="Q865" s="7"/>
      <c r="U865" s="6"/>
    </row>
    <row r="866" spans="13:21" ht="12.75" customHeight="1" x14ac:dyDescent="0.2">
      <c r="M866" s="7"/>
      <c r="Q866" s="7"/>
      <c r="U866" s="6"/>
    </row>
    <row r="867" spans="13:21" ht="12.75" customHeight="1" x14ac:dyDescent="0.2">
      <c r="M867" s="7"/>
      <c r="Q867" s="7"/>
      <c r="U867" s="6"/>
    </row>
    <row r="868" spans="13:21" ht="12.75" customHeight="1" x14ac:dyDescent="0.2">
      <c r="M868" s="7"/>
      <c r="Q868" s="7"/>
      <c r="U868" s="6"/>
    </row>
    <row r="869" spans="13:21" ht="12.75" customHeight="1" x14ac:dyDescent="0.2">
      <c r="M869" s="7"/>
      <c r="Q869" s="7"/>
      <c r="U869" s="6"/>
    </row>
    <row r="870" spans="13:21" ht="12.75" customHeight="1" x14ac:dyDescent="0.2">
      <c r="M870" s="7"/>
      <c r="Q870" s="7"/>
      <c r="U870" s="6"/>
    </row>
    <row r="871" spans="13:21" ht="12.75" customHeight="1" x14ac:dyDescent="0.2">
      <c r="M871" s="7"/>
      <c r="Q871" s="7"/>
      <c r="U871" s="6"/>
    </row>
    <row r="872" spans="13:21" ht="12.75" customHeight="1" x14ac:dyDescent="0.2">
      <c r="M872" s="7"/>
      <c r="Q872" s="7"/>
      <c r="U872" s="6"/>
    </row>
    <row r="873" spans="13:21" ht="12.75" customHeight="1" x14ac:dyDescent="0.2">
      <c r="M873" s="7"/>
      <c r="Q873" s="7"/>
      <c r="U873" s="6"/>
    </row>
    <row r="874" spans="13:21" ht="12.75" customHeight="1" x14ac:dyDescent="0.2">
      <c r="M874" s="7"/>
      <c r="Q874" s="7"/>
      <c r="U874" s="6"/>
    </row>
    <row r="875" spans="13:21" ht="12.75" customHeight="1" x14ac:dyDescent="0.2">
      <c r="M875" s="7"/>
      <c r="Q875" s="7"/>
      <c r="U875" s="6"/>
    </row>
    <row r="876" spans="13:21" ht="12.75" customHeight="1" x14ac:dyDescent="0.2">
      <c r="M876" s="7"/>
      <c r="Q876" s="7"/>
      <c r="U876" s="6"/>
    </row>
    <row r="877" spans="13:21" ht="12.75" customHeight="1" x14ac:dyDescent="0.2">
      <c r="M877" s="7"/>
      <c r="Q877" s="7"/>
      <c r="U877" s="6"/>
    </row>
    <row r="878" spans="13:21" ht="12.75" customHeight="1" x14ac:dyDescent="0.2">
      <c r="M878" s="7"/>
      <c r="Q878" s="7"/>
      <c r="U878" s="6"/>
    </row>
    <row r="879" spans="13:21" ht="12.75" customHeight="1" x14ac:dyDescent="0.2">
      <c r="M879" s="7"/>
      <c r="Q879" s="7"/>
      <c r="U879" s="6"/>
    </row>
    <row r="880" spans="13:21" ht="12.75" customHeight="1" x14ac:dyDescent="0.2">
      <c r="M880" s="7"/>
      <c r="Q880" s="7"/>
      <c r="U880" s="6"/>
    </row>
    <row r="881" spans="13:21" ht="12.75" customHeight="1" x14ac:dyDescent="0.2">
      <c r="M881" s="7"/>
      <c r="Q881" s="7"/>
      <c r="U881" s="6"/>
    </row>
    <row r="882" spans="13:21" ht="12.75" customHeight="1" x14ac:dyDescent="0.2">
      <c r="M882" s="7"/>
      <c r="Q882" s="7"/>
      <c r="U882" s="6"/>
    </row>
    <row r="883" spans="13:21" ht="12.75" customHeight="1" x14ac:dyDescent="0.2">
      <c r="M883" s="7"/>
      <c r="Q883" s="7"/>
      <c r="U883" s="6"/>
    </row>
    <row r="884" spans="13:21" ht="12.75" customHeight="1" x14ac:dyDescent="0.2">
      <c r="M884" s="7"/>
      <c r="Q884" s="7"/>
      <c r="U884" s="6"/>
    </row>
    <row r="885" spans="13:21" ht="12.75" customHeight="1" x14ac:dyDescent="0.2">
      <c r="M885" s="7"/>
      <c r="Q885" s="7"/>
      <c r="U885" s="6"/>
    </row>
    <row r="886" spans="13:21" ht="12.75" customHeight="1" x14ac:dyDescent="0.2">
      <c r="M886" s="7"/>
      <c r="Q886" s="7"/>
      <c r="U886" s="6"/>
    </row>
    <row r="887" spans="13:21" ht="12.75" customHeight="1" x14ac:dyDescent="0.2">
      <c r="M887" s="7"/>
      <c r="Q887" s="7"/>
      <c r="U887" s="6"/>
    </row>
    <row r="888" spans="13:21" ht="12.75" customHeight="1" x14ac:dyDescent="0.2">
      <c r="M888" s="7"/>
      <c r="Q888" s="7"/>
      <c r="U888" s="6"/>
    </row>
    <row r="889" spans="13:21" ht="12.75" customHeight="1" x14ac:dyDescent="0.2">
      <c r="M889" s="7"/>
      <c r="Q889" s="7"/>
      <c r="U889" s="6"/>
    </row>
    <row r="890" spans="13:21" ht="12.75" customHeight="1" x14ac:dyDescent="0.2">
      <c r="M890" s="7"/>
      <c r="Q890" s="7"/>
      <c r="U890" s="6"/>
    </row>
    <row r="891" spans="13:21" ht="12.75" customHeight="1" x14ac:dyDescent="0.2">
      <c r="M891" s="7"/>
      <c r="Q891" s="7"/>
      <c r="U891" s="6"/>
    </row>
    <row r="892" spans="13:21" ht="12.75" customHeight="1" x14ac:dyDescent="0.2">
      <c r="M892" s="7"/>
      <c r="Q892" s="7"/>
      <c r="U892" s="6"/>
    </row>
    <row r="893" spans="13:21" ht="12.75" customHeight="1" x14ac:dyDescent="0.2">
      <c r="M893" s="7"/>
      <c r="Q893" s="7"/>
      <c r="U893" s="6"/>
    </row>
    <row r="894" spans="13:21" ht="12.75" customHeight="1" x14ac:dyDescent="0.2">
      <c r="M894" s="7"/>
      <c r="Q894" s="7"/>
      <c r="U894" s="6"/>
    </row>
    <row r="895" spans="13:21" ht="12.75" customHeight="1" x14ac:dyDescent="0.2">
      <c r="M895" s="7"/>
      <c r="Q895" s="7"/>
      <c r="U895" s="6"/>
    </row>
    <row r="896" spans="13:21" ht="12.75" customHeight="1" x14ac:dyDescent="0.2">
      <c r="M896" s="7"/>
      <c r="Q896" s="7"/>
      <c r="U896" s="6"/>
    </row>
    <row r="897" spans="13:21" ht="12.75" customHeight="1" x14ac:dyDescent="0.2">
      <c r="M897" s="7"/>
      <c r="Q897" s="7"/>
      <c r="U897" s="6"/>
    </row>
    <row r="898" spans="13:21" ht="12.75" customHeight="1" x14ac:dyDescent="0.2">
      <c r="M898" s="7"/>
      <c r="Q898" s="7"/>
      <c r="U898" s="6"/>
    </row>
    <row r="899" spans="13:21" ht="12.75" customHeight="1" x14ac:dyDescent="0.2">
      <c r="M899" s="7"/>
      <c r="Q899" s="7"/>
      <c r="U899" s="6"/>
    </row>
    <row r="900" spans="13:21" ht="12.75" customHeight="1" x14ac:dyDescent="0.2">
      <c r="M900" s="7"/>
      <c r="Q900" s="7"/>
      <c r="U900" s="6"/>
    </row>
    <row r="901" spans="13:21" ht="12.75" customHeight="1" x14ac:dyDescent="0.2">
      <c r="M901" s="7"/>
      <c r="Q901" s="7"/>
      <c r="U901" s="6"/>
    </row>
    <row r="902" spans="13:21" ht="12.75" customHeight="1" x14ac:dyDescent="0.2">
      <c r="M902" s="7"/>
      <c r="Q902" s="7"/>
      <c r="U902" s="6"/>
    </row>
    <row r="903" spans="13:21" ht="12.75" customHeight="1" x14ac:dyDescent="0.2">
      <c r="M903" s="7"/>
      <c r="Q903" s="7"/>
      <c r="U903" s="6"/>
    </row>
    <row r="904" spans="13:21" ht="12.75" customHeight="1" x14ac:dyDescent="0.2">
      <c r="M904" s="7"/>
      <c r="Q904" s="7"/>
      <c r="U904" s="6"/>
    </row>
    <row r="905" spans="13:21" ht="12.75" customHeight="1" x14ac:dyDescent="0.2">
      <c r="M905" s="7"/>
      <c r="Q905" s="7"/>
      <c r="U905" s="6"/>
    </row>
    <row r="906" spans="13:21" ht="12.75" customHeight="1" x14ac:dyDescent="0.2">
      <c r="M906" s="7"/>
      <c r="Q906" s="7"/>
      <c r="U906" s="6"/>
    </row>
    <row r="907" spans="13:21" ht="12.75" customHeight="1" x14ac:dyDescent="0.2">
      <c r="M907" s="7"/>
      <c r="Q907" s="7"/>
      <c r="U907" s="6"/>
    </row>
    <row r="908" spans="13:21" ht="12.75" customHeight="1" x14ac:dyDescent="0.2">
      <c r="M908" s="7"/>
      <c r="Q908" s="7"/>
      <c r="U908" s="6"/>
    </row>
    <row r="909" spans="13:21" ht="12.75" customHeight="1" x14ac:dyDescent="0.2">
      <c r="M909" s="7"/>
      <c r="Q909" s="7"/>
      <c r="U909" s="6"/>
    </row>
    <row r="910" spans="13:21" ht="12.75" customHeight="1" x14ac:dyDescent="0.2">
      <c r="M910" s="7"/>
      <c r="Q910" s="7"/>
      <c r="U910" s="6"/>
    </row>
    <row r="911" spans="13:21" ht="12.75" customHeight="1" x14ac:dyDescent="0.2">
      <c r="M911" s="7"/>
      <c r="Q911" s="7"/>
      <c r="U911" s="6"/>
    </row>
    <row r="912" spans="13:21" ht="12.75" customHeight="1" x14ac:dyDescent="0.2">
      <c r="M912" s="7"/>
      <c r="Q912" s="7"/>
      <c r="U912" s="6"/>
    </row>
    <row r="913" spans="13:21" ht="12.75" customHeight="1" x14ac:dyDescent="0.2">
      <c r="M913" s="7"/>
      <c r="Q913" s="7"/>
      <c r="U913" s="6"/>
    </row>
    <row r="914" spans="13:21" ht="12.75" customHeight="1" x14ac:dyDescent="0.2">
      <c r="M914" s="7"/>
      <c r="Q914" s="7"/>
      <c r="U914" s="6"/>
    </row>
    <row r="915" spans="13:21" ht="12.75" customHeight="1" x14ac:dyDescent="0.2">
      <c r="M915" s="7"/>
      <c r="Q915" s="7"/>
      <c r="U915" s="6"/>
    </row>
    <row r="916" spans="13:21" ht="12.75" customHeight="1" x14ac:dyDescent="0.2">
      <c r="M916" s="7"/>
      <c r="Q916" s="7"/>
      <c r="U916" s="6"/>
    </row>
    <row r="917" spans="13:21" ht="12.75" customHeight="1" x14ac:dyDescent="0.2">
      <c r="M917" s="7"/>
      <c r="Q917" s="7"/>
      <c r="U917" s="6"/>
    </row>
    <row r="918" spans="13:21" ht="12.75" customHeight="1" x14ac:dyDescent="0.2">
      <c r="M918" s="7"/>
      <c r="Q918" s="7"/>
      <c r="U918" s="6"/>
    </row>
    <row r="919" spans="13:21" ht="12.75" customHeight="1" x14ac:dyDescent="0.2">
      <c r="M919" s="7"/>
      <c r="Q919" s="7"/>
      <c r="U919" s="6"/>
    </row>
    <row r="920" spans="13:21" ht="12.75" customHeight="1" x14ac:dyDescent="0.2">
      <c r="M920" s="7"/>
      <c r="Q920" s="7"/>
      <c r="U920" s="6"/>
    </row>
    <row r="921" spans="13:21" ht="12.75" customHeight="1" x14ac:dyDescent="0.2">
      <c r="M921" s="7"/>
      <c r="Q921" s="7"/>
      <c r="U921" s="6"/>
    </row>
    <row r="922" spans="13:21" ht="12.75" customHeight="1" x14ac:dyDescent="0.2">
      <c r="M922" s="7"/>
      <c r="Q922" s="7"/>
      <c r="U922" s="6"/>
    </row>
    <row r="923" spans="13:21" ht="12.75" customHeight="1" x14ac:dyDescent="0.2">
      <c r="M923" s="7"/>
      <c r="Q923" s="7"/>
      <c r="U923" s="6"/>
    </row>
    <row r="924" spans="13:21" ht="12.75" customHeight="1" x14ac:dyDescent="0.2">
      <c r="M924" s="7"/>
      <c r="Q924" s="7"/>
      <c r="U924" s="6"/>
    </row>
    <row r="925" spans="13:21" ht="12.75" customHeight="1" x14ac:dyDescent="0.2">
      <c r="M925" s="7"/>
      <c r="Q925" s="7"/>
      <c r="U925" s="6"/>
    </row>
    <row r="926" spans="13:21" ht="12.75" customHeight="1" x14ac:dyDescent="0.2">
      <c r="M926" s="7"/>
      <c r="Q926" s="7"/>
      <c r="U926" s="6"/>
    </row>
    <row r="927" spans="13:21" ht="12.75" customHeight="1" x14ac:dyDescent="0.2">
      <c r="M927" s="7"/>
      <c r="Q927" s="7"/>
      <c r="U927" s="6"/>
    </row>
    <row r="928" spans="13:21" ht="12.75" customHeight="1" x14ac:dyDescent="0.2">
      <c r="M928" s="7"/>
      <c r="Q928" s="7"/>
      <c r="U928" s="6"/>
    </row>
    <row r="929" spans="13:21" ht="12.75" customHeight="1" x14ac:dyDescent="0.2">
      <c r="M929" s="7"/>
      <c r="Q929" s="7"/>
      <c r="U929" s="6"/>
    </row>
    <row r="930" spans="13:21" ht="12.75" customHeight="1" x14ac:dyDescent="0.2">
      <c r="M930" s="7"/>
      <c r="Q930" s="7"/>
      <c r="U930" s="6"/>
    </row>
    <row r="931" spans="13:21" ht="12.75" customHeight="1" x14ac:dyDescent="0.2">
      <c r="M931" s="7"/>
      <c r="Q931" s="7"/>
      <c r="U931" s="6"/>
    </row>
    <row r="932" spans="13:21" ht="12.75" customHeight="1" x14ac:dyDescent="0.2">
      <c r="M932" s="7"/>
      <c r="Q932" s="7"/>
      <c r="U932" s="6"/>
    </row>
    <row r="933" spans="13:21" ht="12.75" customHeight="1" x14ac:dyDescent="0.2">
      <c r="M933" s="7"/>
      <c r="Q933" s="7"/>
      <c r="U933" s="6"/>
    </row>
    <row r="934" spans="13:21" ht="12.75" customHeight="1" x14ac:dyDescent="0.2">
      <c r="M934" s="7"/>
      <c r="Q934" s="7"/>
      <c r="U934" s="6"/>
    </row>
    <row r="935" spans="13:21" ht="12.75" customHeight="1" x14ac:dyDescent="0.2">
      <c r="M935" s="7"/>
      <c r="Q935" s="7"/>
      <c r="U935" s="6"/>
    </row>
    <row r="936" spans="13:21" ht="12.75" customHeight="1" x14ac:dyDescent="0.2">
      <c r="M936" s="7"/>
      <c r="Q936" s="7"/>
      <c r="U936" s="6"/>
    </row>
    <row r="937" spans="13:21" ht="12.75" customHeight="1" x14ac:dyDescent="0.2">
      <c r="M937" s="7"/>
      <c r="Q937" s="7"/>
      <c r="U937" s="6"/>
    </row>
    <row r="938" spans="13:21" ht="12.75" customHeight="1" x14ac:dyDescent="0.2">
      <c r="M938" s="7"/>
      <c r="Q938" s="7"/>
      <c r="U938" s="6"/>
    </row>
    <row r="939" spans="13:21" ht="12.75" customHeight="1" x14ac:dyDescent="0.2">
      <c r="M939" s="7"/>
      <c r="Q939" s="7"/>
      <c r="U939" s="6"/>
    </row>
    <row r="940" spans="13:21" ht="12.75" customHeight="1" x14ac:dyDescent="0.2">
      <c r="M940" s="7"/>
      <c r="Q940" s="7"/>
      <c r="U940" s="6"/>
    </row>
    <row r="941" spans="13:21" ht="12.75" customHeight="1" x14ac:dyDescent="0.2">
      <c r="M941" s="7"/>
      <c r="Q941" s="7"/>
      <c r="U941" s="6"/>
    </row>
    <row r="942" spans="13:21" ht="12.75" customHeight="1" x14ac:dyDescent="0.2">
      <c r="M942" s="7"/>
      <c r="Q942" s="7"/>
      <c r="U942" s="6"/>
    </row>
    <row r="943" spans="13:21" ht="12.75" customHeight="1" x14ac:dyDescent="0.2">
      <c r="M943" s="7"/>
      <c r="Q943" s="7"/>
      <c r="U943" s="6"/>
    </row>
    <row r="944" spans="13:21" ht="12.75" customHeight="1" x14ac:dyDescent="0.2">
      <c r="M944" s="7"/>
      <c r="Q944" s="7"/>
      <c r="U944" s="6"/>
    </row>
    <row r="945" spans="13:21" ht="12.75" customHeight="1" x14ac:dyDescent="0.2">
      <c r="M945" s="7"/>
      <c r="Q945" s="7"/>
      <c r="U945" s="6"/>
    </row>
    <row r="946" spans="13:21" ht="12.75" customHeight="1" x14ac:dyDescent="0.2">
      <c r="M946" s="7"/>
      <c r="Q946" s="7"/>
      <c r="U946" s="6"/>
    </row>
    <row r="947" spans="13:21" ht="12.75" customHeight="1" x14ac:dyDescent="0.2">
      <c r="M947" s="7"/>
      <c r="Q947" s="7"/>
      <c r="U947" s="6"/>
    </row>
    <row r="948" spans="13:21" ht="12.75" customHeight="1" x14ac:dyDescent="0.2">
      <c r="M948" s="7"/>
      <c r="Q948" s="7"/>
      <c r="U948" s="6"/>
    </row>
    <row r="949" spans="13:21" ht="12.75" customHeight="1" x14ac:dyDescent="0.2">
      <c r="M949" s="7"/>
      <c r="Q949" s="7"/>
      <c r="U949" s="6"/>
    </row>
    <row r="950" spans="13:21" ht="12.75" customHeight="1" x14ac:dyDescent="0.2">
      <c r="M950" s="7"/>
      <c r="Q950" s="7"/>
      <c r="U950" s="6"/>
    </row>
    <row r="951" spans="13:21" ht="12.75" customHeight="1" x14ac:dyDescent="0.2">
      <c r="M951" s="7"/>
      <c r="Q951" s="7"/>
      <c r="U951" s="6"/>
    </row>
    <row r="952" spans="13:21" ht="12.75" customHeight="1" x14ac:dyDescent="0.2">
      <c r="M952" s="7"/>
      <c r="Q952" s="7"/>
      <c r="U952" s="6"/>
    </row>
    <row r="953" spans="13:21" ht="12.75" customHeight="1" x14ac:dyDescent="0.2">
      <c r="M953" s="7"/>
      <c r="Q953" s="7"/>
      <c r="U953" s="6"/>
    </row>
    <row r="954" spans="13:21" ht="12.75" customHeight="1" x14ac:dyDescent="0.2">
      <c r="M954" s="7"/>
      <c r="Q954" s="7"/>
      <c r="U954" s="6"/>
    </row>
    <row r="955" spans="13:21" ht="12.75" customHeight="1" x14ac:dyDescent="0.2">
      <c r="M955" s="7"/>
      <c r="Q955" s="7"/>
      <c r="U955" s="6"/>
    </row>
    <row r="956" spans="13:21" ht="12.75" customHeight="1" x14ac:dyDescent="0.2">
      <c r="M956" s="7"/>
      <c r="Q956" s="7"/>
      <c r="U956" s="6"/>
    </row>
    <row r="957" spans="13:21" ht="12.75" customHeight="1" x14ac:dyDescent="0.2">
      <c r="M957" s="7"/>
      <c r="Q957" s="7"/>
      <c r="U957" s="6"/>
    </row>
    <row r="958" spans="13:21" ht="12.75" customHeight="1" x14ac:dyDescent="0.2">
      <c r="M958" s="7"/>
      <c r="Q958" s="7"/>
      <c r="U958" s="6"/>
    </row>
    <row r="959" spans="13:21" ht="12.75" customHeight="1" x14ac:dyDescent="0.2">
      <c r="M959" s="7"/>
      <c r="Q959" s="7"/>
      <c r="U959" s="6"/>
    </row>
    <row r="960" spans="13:21" ht="12.75" customHeight="1" x14ac:dyDescent="0.2">
      <c r="M960" s="7"/>
      <c r="Q960" s="7"/>
      <c r="U960" s="6"/>
    </row>
    <row r="961" spans="13:21" ht="12.75" customHeight="1" x14ac:dyDescent="0.2">
      <c r="M961" s="7"/>
      <c r="Q961" s="7"/>
      <c r="U961" s="6"/>
    </row>
    <row r="962" spans="13:21" ht="12.75" customHeight="1" x14ac:dyDescent="0.2">
      <c r="M962" s="7"/>
      <c r="Q962" s="7"/>
      <c r="U962" s="6"/>
    </row>
    <row r="963" spans="13:21" ht="12.75" customHeight="1" x14ac:dyDescent="0.2">
      <c r="M963" s="7"/>
      <c r="Q963" s="7"/>
      <c r="U963" s="6"/>
    </row>
    <row r="964" spans="13:21" ht="12.75" customHeight="1" x14ac:dyDescent="0.2">
      <c r="M964" s="7"/>
      <c r="Q964" s="7"/>
      <c r="U964" s="6"/>
    </row>
    <row r="965" spans="13:21" ht="12.75" customHeight="1" x14ac:dyDescent="0.2">
      <c r="M965" s="7"/>
      <c r="Q965" s="7"/>
      <c r="U965" s="6"/>
    </row>
    <row r="966" spans="13:21" ht="12.75" customHeight="1" x14ac:dyDescent="0.2">
      <c r="M966" s="7"/>
      <c r="Q966" s="7"/>
      <c r="U966" s="6"/>
    </row>
    <row r="967" spans="13:21" ht="12.75" customHeight="1" x14ac:dyDescent="0.2">
      <c r="M967" s="7"/>
      <c r="Q967" s="7"/>
      <c r="U967" s="6"/>
    </row>
    <row r="968" spans="13:21" ht="12.75" customHeight="1" x14ac:dyDescent="0.2">
      <c r="M968" s="7"/>
      <c r="Q968" s="7"/>
      <c r="U968" s="6"/>
    </row>
    <row r="969" spans="13:21" ht="12.75" customHeight="1" x14ac:dyDescent="0.2">
      <c r="M969" s="7"/>
      <c r="Q969" s="7"/>
      <c r="U969" s="6"/>
    </row>
    <row r="970" spans="13:21" ht="12.75" customHeight="1" x14ac:dyDescent="0.2">
      <c r="M970" s="7"/>
      <c r="Q970" s="7"/>
      <c r="U970" s="6"/>
    </row>
    <row r="971" spans="13:21" ht="12.75" customHeight="1" x14ac:dyDescent="0.2">
      <c r="M971" s="7"/>
      <c r="Q971" s="7"/>
      <c r="U971" s="6"/>
    </row>
    <row r="972" spans="13:21" ht="12.75" customHeight="1" x14ac:dyDescent="0.2">
      <c r="M972" s="7"/>
      <c r="Q972" s="7"/>
      <c r="U972" s="6"/>
    </row>
    <row r="973" spans="13:21" ht="12.75" customHeight="1" x14ac:dyDescent="0.2">
      <c r="M973" s="7"/>
      <c r="Q973" s="7"/>
      <c r="U973" s="6"/>
    </row>
    <row r="974" spans="13:21" ht="12.75" customHeight="1" x14ac:dyDescent="0.2">
      <c r="M974" s="7"/>
      <c r="Q974" s="7"/>
      <c r="U974" s="6"/>
    </row>
    <row r="975" spans="13:21" ht="12.75" customHeight="1" x14ac:dyDescent="0.2">
      <c r="M975" s="7"/>
      <c r="Q975" s="7"/>
      <c r="U975" s="6"/>
    </row>
    <row r="976" spans="13:21" ht="12.75" customHeight="1" x14ac:dyDescent="0.2">
      <c r="M976" s="7"/>
      <c r="Q976" s="7"/>
      <c r="U976" s="6"/>
    </row>
    <row r="977" spans="13:21" ht="12.75" customHeight="1" x14ac:dyDescent="0.2">
      <c r="M977" s="7"/>
      <c r="Q977" s="7"/>
      <c r="U977" s="6"/>
    </row>
    <row r="978" spans="13:21" ht="12.75" customHeight="1" x14ac:dyDescent="0.2">
      <c r="M978" s="7"/>
      <c r="Q978" s="7"/>
      <c r="U978" s="6"/>
    </row>
    <row r="979" spans="13:21" ht="12.75" customHeight="1" x14ac:dyDescent="0.2">
      <c r="M979" s="7"/>
      <c r="Q979" s="7"/>
      <c r="U979" s="6"/>
    </row>
    <row r="980" spans="13:21" ht="12.75" customHeight="1" x14ac:dyDescent="0.2">
      <c r="M980" s="7"/>
      <c r="Q980" s="7"/>
      <c r="U980" s="6"/>
    </row>
    <row r="981" spans="13:21" ht="12.75" customHeight="1" x14ac:dyDescent="0.2">
      <c r="M981" s="7"/>
      <c r="Q981" s="7"/>
      <c r="U981" s="6"/>
    </row>
    <row r="982" spans="13:21" ht="12.75" customHeight="1" x14ac:dyDescent="0.2">
      <c r="M982" s="7"/>
      <c r="Q982" s="7"/>
      <c r="U982" s="6"/>
    </row>
    <row r="983" spans="13:21" ht="12.75" customHeight="1" x14ac:dyDescent="0.2">
      <c r="M983" s="7"/>
      <c r="Q983" s="7"/>
      <c r="U983" s="6"/>
    </row>
    <row r="984" spans="13:21" ht="12.75" customHeight="1" x14ac:dyDescent="0.2">
      <c r="M984" s="7"/>
      <c r="Q984" s="7"/>
      <c r="U984" s="6"/>
    </row>
    <row r="985" spans="13:21" ht="12.75" customHeight="1" x14ac:dyDescent="0.2">
      <c r="M985" s="7"/>
      <c r="Q985" s="7"/>
      <c r="U985" s="6"/>
    </row>
    <row r="986" spans="13:21" ht="12.75" customHeight="1" x14ac:dyDescent="0.2">
      <c r="M986" s="7"/>
      <c r="Q986" s="7"/>
      <c r="U986" s="6"/>
    </row>
    <row r="987" spans="13:21" ht="12.75" customHeight="1" x14ac:dyDescent="0.2">
      <c r="M987" s="7"/>
      <c r="Q987" s="7"/>
      <c r="U987" s="6"/>
    </row>
    <row r="988" spans="13:21" ht="12.75" customHeight="1" x14ac:dyDescent="0.2">
      <c r="M988" s="7"/>
      <c r="Q988" s="7"/>
      <c r="U988" s="6"/>
    </row>
    <row r="989" spans="13:21" ht="12.75" customHeight="1" x14ac:dyDescent="0.2">
      <c r="M989" s="7"/>
      <c r="Q989" s="7"/>
      <c r="U989" s="6"/>
    </row>
    <row r="990" spans="13:21" ht="12.75" customHeight="1" x14ac:dyDescent="0.2">
      <c r="M990" s="7"/>
      <c r="Q990" s="7"/>
      <c r="U990" s="6"/>
    </row>
    <row r="991" spans="13:21" ht="12.75" customHeight="1" x14ac:dyDescent="0.2">
      <c r="M991" s="7"/>
      <c r="Q991" s="7"/>
      <c r="U991" s="6"/>
    </row>
    <row r="992" spans="13:21" ht="12.75" customHeight="1" x14ac:dyDescent="0.2">
      <c r="M992" s="7"/>
      <c r="Q992" s="7"/>
      <c r="U992" s="6"/>
    </row>
    <row r="993" spans="13:21" ht="12.75" customHeight="1" x14ac:dyDescent="0.2">
      <c r="M993" s="7"/>
      <c r="Q993" s="7"/>
      <c r="U993" s="6"/>
    </row>
    <row r="994" spans="13:21" ht="12.75" customHeight="1" x14ac:dyDescent="0.2">
      <c r="M994" s="7"/>
      <c r="Q994" s="7"/>
      <c r="U994" s="6"/>
    </row>
    <row r="995" spans="13:21" ht="12.75" customHeight="1" x14ac:dyDescent="0.2">
      <c r="M995" s="7"/>
      <c r="Q995" s="7"/>
      <c r="U995" s="6"/>
    </row>
    <row r="996" spans="13:21" ht="12.75" customHeight="1" x14ac:dyDescent="0.2">
      <c r="M996" s="7"/>
      <c r="Q996" s="7"/>
      <c r="U996" s="6"/>
    </row>
    <row r="997" spans="13:21" ht="12.75" customHeight="1" x14ac:dyDescent="0.2">
      <c r="M997" s="7"/>
      <c r="Q997" s="7"/>
      <c r="U997" s="6"/>
    </row>
    <row r="998" spans="13:21" ht="12.75" customHeight="1" x14ac:dyDescent="0.2">
      <c r="M998" s="7"/>
      <c r="Q998" s="7"/>
    </row>
    <row r="999" spans="13:21" ht="12.75" customHeight="1" x14ac:dyDescent="0.2">
      <c r="M999" s="7"/>
      <c r="Q999" s="7"/>
    </row>
    <row r="1000" spans="13:21" ht="12.75" customHeight="1" x14ac:dyDescent="0.2">
      <c r="M1000" s="7"/>
      <c r="Q1000" s="7"/>
    </row>
    <row r="1001" spans="13:21" ht="12.75" customHeight="1" x14ac:dyDescent="0.2">
      <c r="M1001" s="7"/>
      <c r="Q1001" s="7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2"/>
  <sheetViews>
    <sheetView workbookViewId="0">
      <pane ySplit="510" topLeftCell="A21" activePane="bottomLeft"/>
      <selection activeCell="C1" sqref="C1:N1"/>
      <selection pane="bottomLeft" activeCell="C34" sqref="C34"/>
    </sheetView>
  </sheetViews>
  <sheetFormatPr defaultColWidth="14.42578125" defaultRowHeight="15" customHeight="1" x14ac:dyDescent="0.2"/>
  <cols>
    <col min="1" max="1" width="8.7109375" customWidth="1"/>
    <col min="2" max="4" width="9.140625" customWidth="1"/>
    <col min="5" max="5" width="10.42578125" customWidth="1"/>
    <col min="6" max="14" width="9.140625" customWidth="1"/>
    <col min="15" max="15" width="18.5703125" customWidth="1"/>
    <col min="16" max="25" width="8.7109375" customWidth="1"/>
  </cols>
  <sheetData>
    <row r="1" spans="1:15" ht="12.75" customHeight="1" x14ac:dyDescent="0.2">
      <c r="B1" s="1"/>
      <c r="C1" s="1" t="s">
        <v>1</v>
      </c>
      <c r="D1" s="1" t="s">
        <v>2</v>
      </c>
      <c r="E1" s="1" t="s">
        <v>18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12</v>
      </c>
      <c r="O1" s="1"/>
    </row>
    <row r="2" spans="1:15" ht="12.75" customHeight="1" x14ac:dyDescent="0.2">
      <c r="A2" s="2">
        <v>2024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spans="1:15" ht="12.75" customHeight="1" x14ac:dyDescent="0.2">
      <c r="A3" s="2" t="s">
        <v>13</v>
      </c>
      <c r="B3" s="3"/>
      <c r="C3" s="3"/>
      <c r="D3" s="3"/>
      <c r="E3" s="3">
        <v>0.126</v>
      </c>
      <c r="F3" s="3">
        <v>0.63</v>
      </c>
      <c r="G3" s="1">
        <v>0.65</v>
      </c>
      <c r="H3" s="3"/>
      <c r="I3" s="1">
        <v>0.65</v>
      </c>
      <c r="J3" s="3">
        <v>0.75</v>
      </c>
      <c r="K3" s="3">
        <v>0.97</v>
      </c>
      <c r="L3" s="3">
        <v>1.5</v>
      </c>
      <c r="M3" s="3">
        <v>1.65</v>
      </c>
      <c r="N3" s="3">
        <v>3.7</v>
      </c>
      <c r="O3" s="1"/>
    </row>
    <row r="4" spans="1:15" ht="12.75" customHeight="1" x14ac:dyDescent="0.2">
      <c r="A4" s="2" t="s">
        <v>14</v>
      </c>
      <c r="B4" s="3"/>
      <c r="C4" s="3"/>
      <c r="D4" s="3"/>
      <c r="E4" s="3">
        <v>3.41</v>
      </c>
      <c r="F4" s="3">
        <v>7.76</v>
      </c>
      <c r="G4" s="3">
        <v>8.4537999999999993</v>
      </c>
      <c r="H4" s="3"/>
      <c r="I4" s="3">
        <v>8.4537999999999993</v>
      </c>
      <c r="J4" s="3">
        <v>8.4537999999999993</v>
      </c>
      <c r="K4" s="3">
        <v>8.4537999999999993</v>
      </c>
      <c r="L4" s="3">
        <v>8.6999999999999993</v>
      </c>
      <c r="M4" s="3">
        <v>9.4</v>
      </c>
      <c r="N4" s="3">
        <v>10.24</v>
      </c>
      <c r="O4" s="1"/>
    </row>
    <row r="5" spans="1:15" ht="12.75" customHeight="1" x14ac:dyDescent="0.2">
      <c r="A5" s="2" t="s">
        <v>15</v>
      </c>
      <c r="B5" s="3"/>
      <c r="C5" s="3"/>
      <c r="D5" s="3"/>
      <c r="E5" s="3">
        <v>0.20599999999999999</v>
      </c>
      <c r="F5" s="3">
        <v>2.56</v>
      </c>
      <c r="G5" s="1">
        <v>2.6</v>
      </c>
      <c r="H5" s="3"/>
      <c r="I5" s="1">
        <v>2.6</v>
      </c>
      <c r="J5" s="3">
        <v>3</v>
      </c>
      <c r="K5" s="3">
        <v>3.77</v>
      </c>
      <c r="L5" s="3">
        <v>4.0999999999999996</v>
      </c>
      <c r="M5" s="3">
        <v>4.5</v>
      </c>
      <c r="N5" s="3">
        <v>7.2</v>
      </c>
      <c r="O5" s="1"/>
    </row>
    <row r="6" spans="1:15" ht="12.75" customHeight="1" x14ac:dyDescent="0.2">
      <c r="A6" s="2" t="s">
        <v>16</v>
      </c>
      <c r="B6" s="3"/>
      <c r="C6" s="3"/>
      <c r="D6" s="3"/>
      <c r="E6" s="3">
        <v>37</v>
      </c>
      <c r="F6" s="3">
        <v>43.01</v>
      </c>
      <c r="G6" s="3">
        <v>47.01</v>
      </c>
      <c r="H6" s="3"/>
      <c r="I6" s="3">
        <v>48.07</v>
      </c>
      <c r="J6" s="3">
        <v>57.3</v>
      </c>
      <c r="K6" s="3">
        <v>69</v>
      </c>
      <c r="L6" s="3">
        <v>82</v>
      </c>
      <c r="M6" s="3">
        <v>92</v>
      </c>
      <c r="N6" s="3">
        <v>134</v>
      </c>
      <c r="O6" s="1"/>
    </row>
    <row r="7" spans="1:15" ht="12.75" customHeight="1" x14ac:dyDescent="0.2">
      <c r="A7" s="2" t="s">
        <v>17</v>
      </c>
      <c r="B7" s="3"/>
      <c r="C7" s="3"/>
      <c r="D7" s="3"/>
      <c r="E7" s="3">
        <v>2</v>
      </c>
      <c r="F7" s="3">
        <v>2.99</v>
      </c>
      <c r="G7" s="3">
        <v>3.21</v>
      </c>
      <c r="H7" s="3"/>
      <c r="I7" s="3">
        <v>3.21</v>
      </c>
      <c r="J7" s="3">
        <v>7</v>
      </c>
      <c r="K7" s="3">
        <v>12</v>
      </c>
      <c r="L7" s="3">
        <v>14</v>
      </c>
      <c r="M7" s="3">
        <v>14.9</v>
      </c>
      <c r="N7" s="3">
        <v>25</v>
      </c>
      <c r="O7" s="1"/>
    </row>
    <row r="8" spans="1:15" ht="12.75" customHeight="1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/>
    </row>
    <row r="9" spans="1:15" ht="12.75" customHeight="1" x14ac:dyDescent="0.2">
      <c r="A9" s="2" t="s">
        <v>13</v>
      </c>
      <c r="B9" s="3"/>
      <c r="C9" s="3"/>
      <c r="D9" s="3"/>
      <c r="E9" s="3"/>
      <c r="F9" s="3"/>
      <c r="G9" s="3">
        <f t="shared" ref="G9:G13" si="0">G3-F3</f>
        <v>2.0000000000000018E-2</v>
      </c>
      <c r="H9" s="3"/>
      <c r="I9" s="3"/>
      <c r="J9" s="3">
        <f t="shared" ref="J9:N9" si="1">J3-I3</f>
        <v>9.9999999999999978E-2</v>
      </c>
      <c r="K9" s="3">
        <f t="shared" si="1"/>
        <v>0.21999999999999997</v>
      </c>
      <c r="L9" s="3">
        <f t="shared" si="1"/>
        <v>0.53</v>
      </c>
      <c r="M9" s="3">
        <f t="shared" si="1"/>
        <v>0.14999999999999991</v>
      </c>
      <c r="N9" s="3">
        <f t="shared" si="1"/>
        <v>2.0500000000000003</v>
      </c>
      <c r="O9" s="1"/>
    </row>
    <row r="10" spans="1:15" ht="12.75" customHeight="1" x14ac:dyDescent="0.2">
      <c r="A10" s="2" t="s">
        <v>14</v>
      </c>
      <c r="B10" s="3"/>
      <c r="C10" s="3"/>
      <c r="D10" s="3"/>
      <c r="E10" s="3"/>
      <c r="F10" s="3"/>
      <c r="G10" s="3">
        <f t="shared" si="0"/>
        <v>0.69379999999999953</v>
      </c>
      <c r="H10" s="3"/>
      <c r="I10" s="3"/>
      <c r="J10" s="3">
        <f t="shared" ref="J10:N10" si="2">J4-I4</f>
        <v>0</v>
      </c>
      <c r="K10" s="3">
        <f t="shared" si="2"/>
        <v>0</v>
      </c>
      <c r="L10" s="3">
        <f t="shared" si="2"/>
        <v>0.24619999999999997</v>
      </c>
      <c r="M10" s="3">
        <f t="shared" si="2"/>
        <v>0.70000000000000107</v>
      </c>
      <c r="N10" s="3">
        <f t="shared" si="2"/>
        <v>0.83999999999999986</v>
      </c>
      <c r="O10" s="1"/>
    </row>
    <row r="11" spans="1:15" ht="12.75" customHeight="1" x14ac:dyDescent="0.2">
      <c r="A11" s="2" t="s">
        <v>15</v>
      </c>
      <c r="B11" s="1"/>
      <c r="C11" s="1"/>
      <c r="D11" s="1"/>
      <c r="E11" s="1"/>
      <c r="F11" s="1"/>
      <c r="G11" s="3">
        <f t="shared" si="0"/>
        <v>4.0000000000000036E-2</v>
      </c>
      <c r="H11" s="1"/>
      <c r="I11" s="1"/>
      <c r="J11" s="3">
        <f t="shared" ref="J11:N11" si="3">J5-I5</f>
        <v>0.39999999999999991</v>
      </c>
      <c r="K11" s="3">
        <f t="shared" si="3"/>
        <v>0.77</v>
      </c>
      <c r="L11" s="3">
        <f t="shared" si="3"/>
        <v>0.32999999999999963</v>
      </c>
      <c r="M11" s="3">
        <f t="shared" si="3"/>
        <v>0.40000000000000036</v>
      </c>
      <c r="N11" s="3">
        <f t="shared" si="3"/>
        <v>2.7</v>
      </c>
      <c r="O11" s="1"/>
    </row>
    <row r="12" spans="1:15" ht="12.75" customHeight="1" x14ac:dyDescent="0.2">
      <c r="A12" s="2" t="s">
        <v>16</v>
      </c>
      <c r="B12" s="1"/>
      <c r="C12" s="1"/>
      <c r="D12" s="1"/>
      <c r="E12" s="1"/>
      <c r="F12" s="1"/>
      <c r="G12" s="3">
        <f t="shared" si="0"/>
        <v>4</v>
      </c>
      <c r="H12" s="1"/>
      <c r="I12" s="1"/>
      <c r="J12" s="3">
        <f t="shared" ref="J12:N12" si="4">J6-I6</f>
        <v>9.2299999999999969</v>
      </c>
      <c r="K12" s="3">
        <f t="shared" si="4"/>
        <v>11.700000000000003</v>
      </c>
      <c r="L12" s="3">
        <f t="shared" si="4"/>
        <v>13</v>
      </c>
      <c r="M12" s="3">
        <f t="shared" si="4"/>
        <v>10</v>
      </c>
      <c r="N12" s="3">
        <f t="shared" si="4"/>
        <v>42</v>
      </c>
      <c r="O12" s="1"/>
    </row>
    <row r="13" spans="1:15" ht="12.75" customHeight="1" x14ac:dyDescent="0.2">
      <c r="A13" s="2" t="s">
        <v>17</v>
      </c>
      <c r="B13" s="1"/>
      <c r="C13" s="1"/>
      <c r="D13" s="1"/>
      <c r="E13" s="1"/>
      <c r="F13" s="1"/>
      <c r="G13" s="3">
        <f t="shared" si="0"/>
        <v>0.21999999999999975</v>
      </c>
      <c r="H13" s="1"/>
      <c r="I13" s="1"/>
      <c r="J13" s="3">
        <f t="shared" ref="J13:N13" si="5">J7-I7</f>
        <v>3.79</v>
      </c>
      <c r="K13" s="3">
        <f t="shared" si="5"/>
        <v>5</v>
      </c>
      <c r="L13" s="3">
        <f t="shared" si="5"/>
        <v>2</v>
      </c>
      <c r="M13" s="3">
        <f t="shared" si="5"/>
        <v>0.90000000000000036</v>
      </c>
      <c r="N13" s="3">
        <f t="shared" si="5"/>
        <v>10.1</v>
      </c>
      <c r="O13" s="1"/>
    </row>
    <row r="14" spans="1:15" ht="12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2.7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2.75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2.7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2.75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2.75" customHeight="1" x14ac:dyDescent="0.2">
      <c r="A19" s="2" t="s">
        <v>13</v>
      </c>
      <c r="B19" s="3">
        <v>3.7</v>
      </c>
      <c r="C19" s="3">
        <v>7.4</v>
      </c>
      <c r="D19" s="3">
        <v>12</v>
      </c>
      <c r="E19" s="2">
        <v>15.93</v>
      </c>
      <c r="F19" s="10">
        <v>20.3</v>
      </c>
      <c r="G19" s="1">
        <v>25.22</v>
      </c>
      <c r="H19" s="10">
        <v>29.8</v>
      </c>
      <c r="I19" s="1">
        <v>35.36</v>
      </c>
      <c r="J19" s="11">
        <v>41.6</v>
      </c>
      <c r="K19" s="3">
        <v>47.51</v>
      </c>
      <c r="L19" s="3">
        <v>52.8</v>
      </c>
      <c r="M19" s="3">
        <v>58.9</v>
      </c>
      <c r="N19" s="3">
        <v>63.89</v>
      </c>
      <c r="O19" s="1"/>
    </row>
    <row r="20" spans="1:15" ht="12.75" customHeight="1" x14ac:dyDescent="0.2">
      <c r="A20" s="2" t="s">
        <v>14</v>
      </c>
      <c r="B20" s="3">
        <v>10.24</v>
      </c>
      <c r="C20" s="3">
        <v>10.84</v>
      </c>
      <c r="D20" s="3">
        <v>11.56</v>
      </c>
      <c r="E20" s="3">
        <v>12.257999999999999</v>
      </c>
      <c r="F20" s="10">
        <v>12.86</v>
      </c>
      <c r="G20" s="3">
        <v>12.91</v>
      </c>
      <c r="H20" s="10">
        <v>12.91</v>
      </c>
      <c r="I20" s="3">
        <v>12.91</v>
      </c>
      <c r="J20" s="11">
        <v>12.91</v>
      </c>
      <c r="K20" s="3">
        <v>12.91</v>
      </c>
      <c r="L20" s="3">
        <v>13.24</v>
      </c>
      <c r="M20" s="3">
        <v>13.96</v>
      </c>
      <c r="N20" s="3">
        <v>14.715</v>
      </c>
      <c r="O20" s="1"/>
    </row>
    <row r="21" spans="1:15" ht="12.75" customHeight="1" x14ac:dyDescent="0.2">
      <c r="A21" s="2" t="s">
        <v>15</v>
      </c>
      <c r="B21" s="3">
        <v>7.2</v>
      </c>
      <c r="C21" s="3">
        <v>12.28</v>
      </c>
      <c r="D21" s="3">
        <v>17.399999999999999</v>
      </c>
      <c r="E21" s="3">
        <v>22.18</v>
      </c>
      <c r="F21" s="10">
        <v>27.9</v>
      </c>
      <c r="G21" s="1">
        <v>34.28</v>
      </c>
      <c r="H21" s="10">
        <v>40.1</v>
      </c>
      <c r="I21" s="1">
        <v>46.81</v>
      </c>
      <c r="J21" s="11">
        <v>53.2</v>
      </c>
      <c r="K21" s="3">
        <v>60.56</v>
      </c>
      <c r="L21" s="3">
        <v>66.599999999999994</v>
      </c>
      <c r="M21" s="3">
        <v>73.89</v>
      </c>
      <c r="N21" s="3">
        <v>79.010000000000005</v>
      </c>
      <c r="O21" s="1"/>
    </row>
    <row r="22" spans="1:15" ht="12.75" customHeight="1" x14ac:dyDescent="0.2">
      <c r="A22" s="2" t="s">
        <v>16</v>
      </c>
      <c r="B22" s="3">
        <v>134</v>
      </c>
      <c r="C22" s="3">
        <v>180</v>
      </c>
      <c r="D22" s="3">
        <v>227</v>
      </c>
      <c r="E22" s="3">
        <v>273</v>
      </c>
      <c r="F22" s="10">
        <v>344</v>
      </c>
      <c r="G22" s="3">
        <v>414</v>
      </c>
      <c r="H22" s="10">
        <v>474</v>
      </c>
      <c r="I22" s="3">
        <v>554</v>
      </c>
      <c r="J22" s="11">
        <v>646</v>
      </c>
      <c r="K22" s="3">
        <v>709</v>
      </c>
      <c r="L22" s="3">
        <v>771</v>
      </c>
      <c r="M22" s="3">
        <v>852</v>
      </c>
      <c r="N22" s="3">
        <v>919</v>
      </c>
      <c r="O22" s="1"/>
    </row>
    <row r="23" spans="1:15" ht="12.75" customHeight="1" x14ac:dyDescent="0.2">
      <c r="A23" s="2" t="s">
        <v>17</v>
      </c>
      <c r="B23" s="3">
        <v>25</v>
      </c>
      <c r="C23" s="3">
        <v>33</v>
      </c>
      <c r="D23" s="3">
        <v>42</v>
      </c>
      <c r="E23" s="3">
        <v>51</v>
      </c>
      <c r="F23" s="10">
        <v>72</v>
      </c>
      <c r="G23" s="3">
        <v>89</v>
      </c>
      <c r="H23" s="10">
        <v>107</v>
      </c>
      <c r="I23" s="3">
        <v>126</v>
      </c>
      <c r="J23" s="11">
        <v>150</v>
      </c>
      <c r="K23" s="3">
        <v>168</v>
      </c>
      <c r="L23" s="3">
        <v>185</v>
      </c>
      <c r="M23" s="3">
        <v>210</v>
      </c>
      <c r="N23" s="3">
        <v>234</v>
      </c>
      <c r="O23" s="1"/>
    </row>
    <row r="24" spans="1:15" ht="12.75" customHeight="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"/>
    </row>
    <row r="25" spans="1:15" ht="12.75" customHeight="1" x14ac:dyDescent="0.2">
      <c r="A25" s="2" t="s">
        <v>13</v>
      </c>
      <c r="B25" s="3" t="e">
        <f t="shared" ref="B25:F25" si="6">B19-A19</f>
        <v>#VALUE!</v>
      </c>
      <c r="C25" s="3">
        <f t="shared" si="6"/>
        <v>3.7</v>
      </c>
      <c r="D25" s="3">
        <f t="shared" si="6"/>
        <v>4.5999999999999996</v>
      </c>
      <c r="E25" s="3">
        <f t="shared" si="6"/>
        <v>3.9299999999999997</v>
      </c>
      <c r="F25" s="3">
        <f t="shared" si="6"/>
        <v>4.370000000000001</v>
      </c>
      <c r="G25" s="3">
        <f t="shared" ref="G25:I29" si="7">G19-F19</f>
        <v>4.9199999999999982</v>
      </c>
      <c r="H25" s="3">
        <f t="shared" si="7"/>
        <v>4.5800000000000018</v>
      </c>
      <c r="I25" s="3">
        <f t="shared" si="7"/>
        <v>5.5599999999999987</v>
      </c>
      <c r="J25" s="3">
        <f t="shared" ref="J25:N25" si="8">J19-I19</f>
        <v>6.240000000000002</v>
      </c>
      <c r="K25" s="3">
        <f t="shared" si="8"/>
        <v>5.9099999999999966</v>
      </c>
      <c r="L25" s="3">
        <f t="shared" si="8"/>
        <v>5.2899999999999991</v>
      </c>
      <c r="M25" s="3">
        <f t="shared" si="8"/>
        <v>6.1000000000000014</v>
      </c>
      <c r="N25" s="3">
        <f t="shared" si="8"/>
        <v>4.990000000000002</v>
      </c>
      <c r="O25" s="1"/>
    </row>
    <row r="26" spans="1:15" ht="12.75" customHeight="1" x14ac:dyDescent="0.2">
      <c r="A26" s="2" t="s">
        <v>14</v>
      </c>
      <c r="B26" s="3" t="e">
        <f t="shared" ref="B26:F26" si="9">B20-A20</f>
        <v>#VALUE!</v>
      </c>
      <c r="C26" s="3">
        <f t="shared" si="9"/>
        <v>0.59999999999999964</v>
      </c>
      <c r="D26" s="3">
        <f t="shared" si="9"/>
        <v>0.72000000000000064</v>
      </c>
      <c r="E26" s="3">
        <f t="shared" si="9"/>
        <v>0.69799999999999862</v>
      </c>
      <c r="F26" s="3">
        <f t="shared" si="9"/>
        <v>0.60200000000000031</v>
      </c>
      <c r="G26" s="3">
        <f t="shared" si="7"/>
        <v>5.0000000000000711E-2</v>
      </c>
      <c r="H26" s="3">
        <f t="shared" si="7"/>
        <v>0</v>
      </c>
      <c r="I26" s="3">
        <f t="shared" si="7"/>
        <v>0</v>
      </c>
      <c r="J26" s="3">
        <f t="shared" ref="J26:N26" si="10">J20-I20</f>
        <v>0</v>
      </c>
      <c r="K26" s="3">
        <f t="shared" si="10"/>
        <v>0</v>
      </c>
      <c r="L26" s="3">
        <f t="shared" si="10"/>
        <v>0.33000000000000007</v>
      </c>
      <c r="M26" s="3">
        <f t="shared" si="10"/>
        <v>0.72000000000000064</v>
      </c>
      <c r="N26" s="3">
        <f t="shared" si="10"/>
        <v>0.75499999999999901</v>
      </c>
      <c r="O26" s="1"/>
    </row>
    <row r="27" spans="1:15" ht="12.75" customHeight="1" x14ac:dyDescent="0.2">
      <c r="A27" s="2" t="s">
        <v>15</v>
      </c>
      <c r="B27" s="3" t="e">
        <f t="shared" ref="B27:F27" si="11">B21-A21</f>
        <v>#VALUE!</v>
      </c>
      <c r="C27" s="3">
        <f t="shared" si="11"/>
        <v>5.0799999999999992</v>
      </c>
      <c r="D27" s="3">
        <f t="shared" si="11"/>
        <v>5.1199999999999992</v>
      </c>
      <c r="E27" s="3">
        <f t="shared" si="11"/>
        <v>4.7800000000000011</v>
      </c>
      <c r="F27" s="3">
        <f t="shared" si="11"/>
        <v>5.7199999999999989</v>
      </c>
      <c r="G27" s="3">
        <f t="shared" si="7"/>
        <v>6.3800000000000026</v>
      </c>
      <c r="H27" s="3">
        <f t="shared" si="7"/>
        <v>5.82</v>
      </c>
      <c r="I27" s="3">
        <f t="shared" si="7"/>
        <v>6.7100000000000009</v>
      </c>
      <c r="J27" s="3">
        <f t="shared" ref="J27:N27" si="12">J21-I21</f>
        <v>6.3900000000000006</v>
      </c>
      <c r="K27" s="3">
        <f t="shared" si="12"/>
        <v>7.3599999999999994</v>
      </c>
      <c r="L27" s="3">
        <f t="shared" si="12"/>
        <v>6.039999999999992</v>
      </c>
      <c r="M27" s="3">
        <f t="shared" si="12"/>
        <v>7.2900000000000063</v>
      </c>
      <c r="N27" s="3">
        <f t="shared" si="12"/>
        <v>5.1200000000000045</v>
      </c>
      <c r="O27" s="1"/>
    </row>
    <row r="28" spans="1:15" ht="12.75" customHeight="1" x14ac:dyDescent="0.2">
      <c r="A28" s="2" t="s">
        <v>16</v>
      </c>
      <c r="B28" s="3" t="e">
        <f t="shared" ref="B28:F28" si="13">B22-A22</f>
        <v>#VALUE!</v>
      </c>
      <c r="C28" s="3">
        <f t="shared" si="13"/>
        <v>46</v>
      </c>
      <c r="D28" s="3">
        <f t="shared" si="13"/>
        <v>47</v>
      </c>
      <c r="E28" s="3">
        <f t="shared" si="13"/>
        <v>46</v>
      </c>
      <c r="F28" s="3">
        <f t="shared" si="13"/>
        <v>71</v>
      </c>
      <c r="G28" s="3">
        <f t="shared" si="7"/>
        <v>70</v>
      </c>
      <c r="H28" s="3">
        <f t="shared" si="7"/>
        <v>60</v>
      </c>
      <c r="I28" s="3">
        <f t="shared" si="7"/>
        <v>80</v>
      </c>
      <c r="J28" s="3">
        <f t="shared" ref="J28:N28" si="14">J22-I22</f>
        <v>92</v>
      </c>
      <c r="K28" s="3">
        <f t="shared" si="14"/>
        <v>63</v>
      </c>
      <c r="L28" s="3">
        <f t="shared" si="14"/>
        <v>62</v>
      </c>
      <c r="M28" s="3">
        <f t="shared" si="14"/>
        <v>81</v>
      </c>
      <c r="N28" s="3">
        <f t="shared" si="14"/>
        <v>67</v>
      </c>
      <c r="O28" s="1"/>
    </row>
    <row r="29" spans="1:15" ht="12.75" customHeight="1" x14ac:dyDescent="0.2">
      <c r="A29" s="2" t="s">
        <v>17</v>
      </c>
      <c r="B29" s="3" t="e">
        <f t="shared" ref="B29:F29" si="15">B23-A23</f>
        <v>#VALUE!</v>
      </c>
      <c r="C29" s="3">
        <f t="shared" si="15"/>
        <v>8</v>
      </c>
      <c r="D29" s="3">
        <f t="shared" si="15"/>
        <v>9</v>
      </c>
      <c r="E29" s="3">
        <f t="shared" si="15"/>
        <v>9</v>
      </c>
      <c r="F29" s="3">
        <f t="shared" si="15"/>
        <v>21</v>
      </c>
      <c r="G29" s="3">
        <f t="shared" si="7"/>
        <v>17</v>
      </c>
      <c r="H29" s="3">
        <f t="shared" si="7"/>
        <v>18</v>
      </c>
      <c r="I29" s="3">
        <f t="shared" si="7"/>
        <v>19</v>
      </c>
      <c r="J29" s="3">
        <f t="shared" ref="J29:N29" si="16">J23-I23</f>
        <v>24</v>
      </c>
      <c r="K29" s="3">
        <f t="shared" si="16"/>
        <v>18</v>
      </c>
      <c r="L29" s="3">
        <f t="shared" si="16"/>
        <v>17</v>
      </c>
      <c r="M29" s="3">
        <f t="shared" si="16"/>
        <v>25</v>
      </c>
      <c r="N29" s="3">
        <f t="shared" si="16"/>
        <v>24</v>
      </c>
      <c r="O29" s="1"/>
    </row>
    <row r="30" spans="1:15" ht="12.75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2.75" customHeight="1" x14ac:dyDescent="0.2">
      <c r="A31">
        <v>2026</v>
      </c>
      <c r="B31" s="1"/>
      <c r="C31" s="1" t="s">
        <v>1</v>
      </c>
      <c r="D31" s="1" t="s">
        <v>2</v>
      </c>
      <c r="E31" s="1" t="s">
        <v>18</v>
      </c>
      <c r="F31" s="1" t="s">
        <v>4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19</v>
      </c>
      <c r="N31" s="1" t="s">
        <v>12</v>
      </c>
      <c r="O31" s="1"/>
    </row>
    <row r="32" spans="1:15" ht="12.75" customHeight="1" x14ac:dyDescent="0.2">
      <c r="A32" s="2" t="s">
        <v>15</v>
      </c>
      <c r="B32" s="3">
        <v>79.010000000000005</v>
      </c>
      <c r="C32" s="3">
        <v>83.87</v>
      </c>
      <c r="D32" s="3"/>
      <c r="E32" s="3"/>
      <c r="F32" s="10"/>
      <c r="G32" s="1"/>
      <c r="H32" s="10"/>
      <c r="I32" s="1"/>
      <c r="J32" s="11"/>
      <c r="K32" s="3"/>
      <c r="L32" s="3"/>
      <c r="M32" s="3"/>
      <c r="N32" s="3"/>
      <c r="O32" s="1"/>
    </row>
    <row r="33" spans="1:15" ht="12.75" customHeight="1" x14ac:dyDescent="0.2">
      <c r="A33" s="2" t="s">
        <v>13</v>
      </c>
      <c r="B33" s="3">
        <v>63.89</v>
      </c>
      <c r="C33" s="3">
        <v>68.64</v>
      </c>
      <c r="D33" s="3"/>
      <c r="E33" s="2"/>
      <c r="F33" s="10"/>
      <c r="G33" s="1"/>
      <c r="H33" s="10"/>
      <c r="I33" s="1"/>
      <c r="J33" s="11"/>
      <c r="K33" s="3"/>
      <c r="L33" s="3"/>
      <c r="M33" s="3"/>
      <c r="N33" s="3"/>
      <c r="O33" s="1"/>
    </row>
    <row r="34" spans="1:15" ht="12.75" customHeight="1" x14ac:dyDescent="0.2">
      <c r="A34" s="2" t="s">
        <v>16</v>
      </c>
      <c r="B34" s="3">
        <v>919</v>
      </c>
      <c r="C34" s="3">
        <v>971</v>
      </c>
      <c r="D34" s="3"/>
      <c r="E34" s="3"/>
      <c r="F34" s="10"/>
      <c r="G34" s="3"/>
      <c r="H34" s="10"/>
      <c r="I34" s="3"/>
      <c r="J34" s="11"/>
      <c r="K34" s="3"/>
      <c r="L34" s="3"/>
      <c r="M34" s="3"/>
      <c r="N34" s="3"/>
      <c r="O34" s="1"/>
    </row>
    <row r="35" spans="1:15" ht="12.75" customHeight="1" x14ac:dyDescent="0.2">
      <c r="A35" s="2" t="s">
        <v>17</v>
      </c>
      <c r="B35" s="3">
        <v>234</v>
      </c>
      <c r="C35" s="3">
        <v>249</v>
      </c>
      <c r="D35" s="3"/>
      <c r="E35" s="3"/>
      <c r="F35" s="10"/>
      <c r="G35" s="3"/>
      <c r="H35" s="10"/>
      <c r="I35" s="3"/>
      <c r="J35" s="11"/>
      <c r="K35" s="3"/>
      <c r="L35" s="3"/>
      <c r="M35" s="3"/>
      <c r="N35" s="3"/>
      <c r="O35" s="1"/>
    </row>
    <row r="36" spans="1:15" ht="12.75" customHeight="1" x14ac:dyDescent="0.2">
      <c r="A36" s="2" t="s">
        <v>14</v>
      </c>
      <c r="B36" s="3">
        <v>14.715</v>
      </c>
      <c r="C36" s="3">
        <v>15.55</v>
      </c>
      <c r="D36" s="3"/>
      <c r="E36" s="3"/>
      <c r="F36" s="10"/>
      <c r="G36" s="3"/>
      <c r="H36" s="10"/>
      <c r="I36" s="3"/>
      <c r="J36" s="11"/>
      <c r="K36" s="3"/>
      <c r="L36" s="3"/>
      <c r="M36" s="3"/>
      <c r="N36" s="3"/>
      <c r="O36" s="1"/>
    </row>
    <row r="37" spans="1:15" ht="12.75" customHeight="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"/>
    </row>
    <row r="38" spans="1:15" ht="12.75" customHeight="1" x14ac:dyDescent="0.2">
      <c r="A38" s="2" t="s">
        <v>15</v>
      </c>
      <c r="B38" s="3" t="e">
        <f>B33-A33</f>
        <v>#VALUE!</v>
      </c>
      <c r="C38" s="3">
        <f>C32-B32</f>
        <v>4.8599999999999994</v>
      </c>
      <c r="D38" s="3">
        <f>D32-C32</f>
        <v>-83.87</v>
      </c>
      <c r="E38" s="3">
        <f t="shared" ref="E38:L38" si="17">E32-D32</f>
        <v>0</v>
      </c>
      <c r="F38" s="3">
        <f t="shared" si="17"/>
        <v>0</v>
      </c>
      <c r="G38" s="3">
        <f t="shared" si="17"/>
        <v>0</v>
      </c>
      <c r="H38" s="3">
        <f t="shared" si="17"/>
        <v>0</v>
      </c>
      <c r="I38" s="3">
        <f t="shared" si="17"/>
        <v>0</v>
      </c>
      <c r="J38" s="3">
        <f t="shared" si="17"/>
        <v>0</v>
      </c>
      <c r="K38" s="3">
        <f t="shared" si="17"/>
        <v>0</v>
      </c>
      <c r="L38" s="3">
        <f t="shared" si="17"/>
        <v>0</v>
      </c>
      <c r="M38" s="3">
        <f t="shared" ref="M38:N38" si="18">M32-L32</f>
        <v>0</v>
      </c>
      <c r="N38" s="3">
        <f t="shared" si="18"/>
        <v>0</v>
      </c>
      <c r="O38" s="1"/>
    </row>
    <row r="39" spans="1:15" ht="12.75" customHeight="1" x14ac:dyDescent="0.2">
      <c r="A39" s="2" t="s">
        <v>13</v>
      </c>
      <c r="B39" s="3" t="e">
        <f>B36-A36</f>
        <v>#VALUE!</v>
      </c>
      <c r="C39" s="3">
        <f t="shared" ref="C39:D42" si="19">C33-B33</f>
        <v>4.75</v>
      </c>
      <c r="D39" s="3">
        <f t="shared" si="19"/>
        <v>-68.64</v>
      </c>
      <c r="E39" s="3">
        <f t="shared" ref="E39:L39" si="20">E33-D33</f>
        <v>0</v>
      </c>
      <c r="F39" s="3">
        <f t="shared" si="20"/>
        <v>0</v>
      </c>
      <c r="G39" s="3">
        <f t="shared" si="20"/>
        <v>0</v>
      </c>
      <c r="H39" s="3">
        <f t="shared" si="20"/>
        <v>0</v>
      </c>
      <c r="I39" s="3">
        <f t="shared" si="20"/>
        <v>0</v>
      </c>
      <c r="J39" s="3">
        <f t="shared" si="20"/>
        <v>0</v>
      </c>
      <c r="K39" s="3">
        <f t="shared" si="20"/>
        <v>0</v>
      </c>
      <c r="L39" s="3">
        <f t="shared" si="20"/>
        <v>0</v>
      </c>
      <c r="M39" s="3">
        <f t="shared" ref="M39:N39" si="21">M33-L33</f>
        <v>0</v>
      </c>
      <c r="N39" s="3">
        <f t="shared" si="21"/>
        <v>0</v>
      </c>
      <c r="O39" s="1"/>
    </row>
    <row r="40" spans="1:15" ht="12.75" customHeight="1" x14ac:dyDescent="0.2">
      <c r="A40" s="2" t="s">
        <v>16</v>
      </c>
      <c r="B40" s="3" t="e">
        <f>B32-A32</f>
        <v>#VALUE!</v>
      </c>
      <c r="C40" s="3">
        <f t="shared" si="19"/>
        <v>52</v>
      </c>
      <c r="D40" s="3">
        <f t="shared" si="19"/>
        <v>-971</v>
      </c>
      <c r="E40" s="3">
        <f t="shared" ref="E40:L40" si="22">E34-D34</f>
        <v>0</v>
      </c>
      <c r="F40" s="3">
        <f t="shared" si="22"/>
        <v>0</v>
      </c>
      <c r="G40" s="3">
        <f t="shared" si="22"/>
        <v>0</v>
      </c>
      <c r="H40" s="3">
        <f t="shared" si="22"/>
        <v>0</v>
      </c>
      <c r="I40" s="3">
        <f t="shared" si="22"/>
        <v>0</v>
      </c>
      <c r="J40" s="3">
        <f t="shared" si="22"/>
        <v>0</v>
      </c>
      <c r="K40" s="3">
        <f t="shared" si="22"/>
        <v>0</v>
      </c>
      <c r="L40" s="3">
        <f t="shared" si="22"/>
        <v>0</v>
      </c>
      <c r="M40" s="3">
        <f t="shared" ref="M40:N40" si="23">M34-L34</f>
        <v>0</v>
      </c>
      <c r="N40" s="3">
        <f t="shared" si="23"/>
        <v>0</v>
      </c>
      <c r="O40" s="1"/>
    </row>
    <row r="41" spans="1:15" ht="12.75" customHeight="1" x14ac:dyDescent="0.2">
      <c r="A41" s="2" t="s">
        <v>17</v>
      </c>
      <c r="B41" s="3" t="e">
        <f t="shared" ref="B41:B42" si="24">B34-A34</f>
        <v>#VALUE!</v>
      </c>
      <c r="C41" s="3">
        <f t="shared" si="19"/>
        <v>15</v>
      </c>
      <c r="D41" s="3">
        <f t="shared" si="19"/>
        <v>-249</v>
      </c>
      <c r="E41" s="3">
        <f t="shared" ref="E41:L41" si="25">E35-D35</f>
        <v>0</v>
      </c>
      <c r="F41" s="3">
        <f t="shared" si="25"/>
        <v>0</v>
      </c>
      <c r="G41" s="3">
        <f t="shared" si="25"/>
        <v>0</v>
      </c>
      <c r="H41" s="3">
        <f t="shared" si="25"/>
        <v>0</v>
      </c>
      <c r="I41" s="3">
        <f t="shared" si="25"/>
        <v>0</v>
      </c>
      <c r="J41" s="3">
        <f t="shared" si="25"/>
        <v>0</v>
      </c>
      <c r="K41" s="3">
        <f t="shared" si="25"/>
        <v>0</v>
      </c>
      <c r="L41" s="3">
        <f t="shared" si="25"/>
        <v>0</v>
      </c>
      <c r="M41" s="3">
        <f t="shared" ref="M41:N41" si="26">M35-L35</f>
        <v>0</v>
      </c>
      <c r="N41" s="3">
        <f t="shared" si="26"/>
        <v>0</v>
      </c>
      <c r="O41" s="1"/>
    </row>
    <row r="42" spans="1:15" ht="12.75" customHeight="1" x14ac:dyDescent="0.2">
      <c r="A42" s="2" t="s">
        <v>14</v>
      </c>
      <c r="B42" s="3" t="e">
        <f t="shared" si="24"/>
        <v>#VALUE!</v>
      </c>
      <c r="C42" s="3">
        <f t="shared" si="19"/>
        <v>0.83500000000000085</v>
      </c>
      <c r="D42" s="3">
        <f t="shared" si="19"/>
        <v>-15.55</v>
      </c>
      <c r="E42" s="3">
        <f t="shared" ref="E42:L42" si="27">E36-D36</f>
        <v>0</v>
      </c>
      <c r="F42" s="3">
        <f t="shared" si="27"/>
        <v>0</v>
      </c>
      <c r="G42" s="3">
        <f t="shared" si="27"/>
        <v>0</v>
      </c>
      <c r="H42" s="3">
        <f t="shared" si="27"/>
        <v>0</v>
      </c>
      <c r="I42" s="3">
        <f t="shared" si="27"/>
        <v>0</v>
      </c>
      <c r="J42" s="3">
        <f t="shared" si="27"/>
        <v>0</v>
      </c>
      <c r="K42" s="3">
        <f t="shared" si="27"/>
        <v>0</v>
      </c>
      <c r="L42" s="3">
        <f t="shared" si="27"/>
        <v>0</v>
      </c>
      <c r="M42" s="3">
        <f t="shared" ref="M42:N42" si="28">M36-L36</f>
        <v>0</v>
      </c>
      <c r="N42" s="3">
        <f t="shared" si="28"/>
        <v>0</v>
      </c>
      <c r="O42" s="1"/>
    </row>
    <row r="43" spans="1:15" ht="12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2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2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2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2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2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2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2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2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2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2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2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2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2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2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2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2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2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2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2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2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2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2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2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2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2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2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2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2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2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2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2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2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2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2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2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2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2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2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2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2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2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2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2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2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2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2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2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2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2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2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2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2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2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2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2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2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2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2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2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2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2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2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2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2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2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2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2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2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2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2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2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2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2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2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2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2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2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2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5" ht="12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2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2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2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2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2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2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2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2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2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2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2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2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2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2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2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2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2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2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2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2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2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2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2:15" ht="12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2:15" ht="12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2:15" ht="12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2:15" ht="12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2:15" ht="12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2:15" ht="12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2:15" ht="12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2:15" ht="12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2:15" ht="12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2:15" ht="12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2:15" ht="12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2:15" ht="12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2:15" ht="12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5" ht="12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5" ht="12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2:15" ht="12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2:15" ht="12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2:15" ht="12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2:15" ht="12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ht="12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2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2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2:15" ht="12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2:15" ht="12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2:15" ht="12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2:15" ht="12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2:15" ht="12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2:15" ht="12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2:15" ht="12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2:15" ht="12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2:15" ht="12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2:15" ht="12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2:15" ht="12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2:15" ht="12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2:15" ht="12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2:15" ht="12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2:15" ht="12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2:15" ht="12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2:15" ht="12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2:15" ht="12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2:15" ht="12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2:15" ht="12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2:15" ht="12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2:15" ht="12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2:15" ht="12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2:15" ht="12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2:15" ht="12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2:15" ht="12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2:15" ht="12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2:15" ht="12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2:15" ht="12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2:15" ht="12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2:15" ht="12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2:15" ht="12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2:15" ht="12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2:15" ht="12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2:15" ht="12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2:15" ht="12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2:15" ht="12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2:15" ht="12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2:15" ht="12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2:15" ht="12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2:15" ht="12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2:15" ht="12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2:15" ht="12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2:15" ht="12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2:15" ht="12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2:15" ht="12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2:15" ht="12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2:15" ht="12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2:15" ht="12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2:15" ht="12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2:15" ht="12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2:15" ht="12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2:15" ht="12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2:15" ht="12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2:15" ht="12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2:15" ht="12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2:15" ht="12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2:15" ht="12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2:15" ht="12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2:15" ht="12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2:15" ht="12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2:15" ht="12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2:15" ht="12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2:15" ht="12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2:15" ht="12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2:15" ht="12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2:15" ht="12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2:15" ht="12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2:15" ht="12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2:15" ht="12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2:15" ht="12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2:15" ht="12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2:15" ht="12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2:15" ht="12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2:15" ht="12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2:15" ht="12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2:15" ht="12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2:15" ht="12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2:15" ht="12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2:15" ht="12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2:15" ht="12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2:15" ht="12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2:15" ht="12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2:15" ht="12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2:15" ht="12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2:15" ht="12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2:15" ht="12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2:15" ht="12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2:15" ht="12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2:15" ht="12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2:15" ht="12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2:15" ht="12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2:15" ht="12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2:15" ht="12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2:15" ht="12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2:15" ht="12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2:15" ht="12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2:15" ht="12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2:15" ht="12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2:15" ht="12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2:15" ht="12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2:15" ht="12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2:15" ht="12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2:15" ht="12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2:15" ht="12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2:15" ht="12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2:15" ht="12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2:15" ht="12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2:15" ht="12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2:15" ht="12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2:15" ht="12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2:15" ht="12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2:15" ht="12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2:15" ht="12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2:15" ht="12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2:15" ht="12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2:15" ht="12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2:15" ht="12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2:15" ht="12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2:15" ht="12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2:15" ht="12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2:15" ht="12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2:15" ht="12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2:15" ht="12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2:15" ht="12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2:15" ht="12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2:15" ht="12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2:15" ht="12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2:15" ht="12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2:15" ht="12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2:15" ht="12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2:15" ht="12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2:15" ht="12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2:15" ht="12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2:15" ht="12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2:15" ht="12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2:15" ht="12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2:15" ht="12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2:15" ht="12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2:15" ht="12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2:15" ht="12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2:15" ht="12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2:15" ht="12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2:15" ht="12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2:15" ht="12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2:15" ht="12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2:15" ht="12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2:15" ht="12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2:15" ht="12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2:15" ht="12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2:15" ht="12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2:15" ht="12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2:15" ht="12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2:15" ht="12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2:15" ht="12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2:15" ht="12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2:15" ht="12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2:15" ht="12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2:15" ht="12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2:15" ht="12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2:15" ht="12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2:15" ht="12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2:15" ht="12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2:15" ht="12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2:15" ht="12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2:15" ht="12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2:15" ht="12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2:15" ht="12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2:15" ht="12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2:15" ht="12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2:15" ht="12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2:15" ht="12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2:15" ht="12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2:15" ht="12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2:15" ht="12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2:15" ht="12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2:15" ht="12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2:15" ht="12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2:15" ht="12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2:15" ht="12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2:15" ht="12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2:15" ht="12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2:15" ht="12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2:15" ht="12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2:15" ht="12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2:15" ht="12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2:15" ht="12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2:15" ht="12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2:15" ht="12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2:15" ht="12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2:15" ht="12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2:15" ht="12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2:15" ht="12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2:15" ht="12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2:15" ht="12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2:15" ht="12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2:15" ht="12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2:15" ht="12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2:15" ht="12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2:15" ht="12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2:15" ht="12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2:15" ht="12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2:15" ht="12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2:15" ht="12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2:15" ht="12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2:15" ht="12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2:15" ht="12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2:15" ht="12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2:15" ht="12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2:15" ht="12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2:15" ht="12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2:15" ht="12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2:15" ht="12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2:15" ht="12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2:15" ht="12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2:15" ht="12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2:15" ht="12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2:15" ht="12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2:15" ht="12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2:15" ht="12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2:15" ht="12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2:15" ht="12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2:15" ht="12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2:15" ht="12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2:15" ht="12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2:15" ht="12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2:15" ht="12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2:15" ht="12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2:15" ht="12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2:15" ht="12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2:15" ht="12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2:15" ht="12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2:15" ht="12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2:15" ht="12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2:15" ht="12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2:15" ht="12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2:15" ht="12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2:15" ht="12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2:15" ht="12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2:15" ht="12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2:15" ht="12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2:15" ht="12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2:15" ht="12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2:15" ht="12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2:15" ht="12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2:15" ht="12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2:15" ht="12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2:15" ht="12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2:15" ht="12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2:15" ht="12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2:15" ht="12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2:15" ht="12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2:15" ht="12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2:15" ht="12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2:15" ht="12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2:15" ht="12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2:15" ht="12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2:15" ht="12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2:15" ht="12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2:15" ht="12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2:15" ht="12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2:15" ht="12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2:15" ht="12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2:15" ht="12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2:15" ht="12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2:15" ht="12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2:15" ht="12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2:15" ht="12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2:15" ht="12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2:15" ht="12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2:15" ht="12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2:15" ht="12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2:15" ht="12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2:15" ht="12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2:15" ht="12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2:15" ht="12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2:15" ht="12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2:15" ht="12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2:15" ht="12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2:15" ht="12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2:15" ht="12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2:15" ht="12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2:15" ht="12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2:15" ht="12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2:15" ht="12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2:15" ht="12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2:15" ht="12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2:15" ht="12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2:15" ht="12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2:15" ht="12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2:15" ht="12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2:15" ht="12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2:15" ht="12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2:15" ht="12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2:15" ht="12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2:15" ht="12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2:15" ht="12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2:15" ht="12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2:15" ht="12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2:15" ht="12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2:15" ht="12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2:15" ht="12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2:15" ht="12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2:15" ht="12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2:15" ht="12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2:15" ht="12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2:15" ht="12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2:15" ht="12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2:15" ht="12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2:15" ht="12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2:15" ht="12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2:15" ht="12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2:15" ht="12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2:15" ht="12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2:15" ht="12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2:15" ht="12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2:15" ht="12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2:15" ht="12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2:15" ht="12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2:15" ht="12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2:15" ht="12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2:15" ht="12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2:15" ht="12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2:15" ht="12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2:15" ht="12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2:15" ht="12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2:15" ht="12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2:15" ht="12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2:15" ht="12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2:15" ht="12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2:15" ht="12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2:15" ht="12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2:15" ht="12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2:15" ht="12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2:15" ht="12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2:15" ht="12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2:15" ht="12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2:15" ht="12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2:15" ht="12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2:15" ht="12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2:15" ht="12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2:15" ht="12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2:15" ht="12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2:15" ht="12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2:15" ht="12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2:15" ht="12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2:15" ht="12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2:15" ht="12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2:15" ht="12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2:15" ht="12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2:15" ht="12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2:15" ht="12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2:15" ht="12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2:15" ht="12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2:15" ht="12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2:15" ht="12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2:15" ht="12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2:15" ht="12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2:15" ht="12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2:15" ht="12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2:15" ht="12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2:15" ht="12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2:15" ht="12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2:15" ht="12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2:15" ht="12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2:15" ht="12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2:15" ht="12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2:15" ht="12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2:15" ht="12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2:15" ht="12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2:15" ht="12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2:15" ht="12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2:15" ht="12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2:15" ht="12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2:15" ht="12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2:15" ht="12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2:15" ht="12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2:15" ht="12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2:15" ht="12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2:15" ht="12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2:15" ht="12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2:15" ht="12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2:15" ht="12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2:15" ht="12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2:15" ht="12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2:15" ht="12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2:15" ht="12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2:15" ht="12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2:15" ht="12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2:15" ht="12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2:15" ht="12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2:15" ht="12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2:15" ht="12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2:15" ht="12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2:15" ht="12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2:15" ht="12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2:15" ht="12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2:15" ht="12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2:15" ht="12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2:15" ht="12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2:15" ht="12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2:15" ht="12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2:15" ht="12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2:15" ht="12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2:15" ht="12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2:15" ht="12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2:15" ht="12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2:15" ht="12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2:15" ht="12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2:15" ht="12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2:15" ht="12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2:15" ht="12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2:15" ht="12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2:15" ht="12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2:15" ht="12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2:15" ht="12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2:15" ht="12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2:15" ht="12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2:15" ht="12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2:15" ht="12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2:15" ht="12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2:15" ht="12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2:15" ht="12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2:15" ht="12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2:15" ht="12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2:15" ht="12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2:15" ht="12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2:15" ht="12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2:15" ht="12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2:15" ht="12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2:15" ht="12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2:15" ht="12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2:15" ht="12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2:15" ht="12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2:15" ht="12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2:15" ht="12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2:15" ht="12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2:15" ht="12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2:15" ht="12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2:15" ht="12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2:15" ht="12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2:15" ht="12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2:15" ht="12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2:15" ht="12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2:15" ht="12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2:15" ht="12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2:15" ht="12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2:15" ht="12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2:15" ht="12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2:15" ht="12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2:15" ht="12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2:15" ht="12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2:15" ht="12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2:15" ht="12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2:15" ht="12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2:15" ht="12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2:15" ht="12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2:15" ht="12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2:15" ht="12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2:15" ht="12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2:15" ht="12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2:15" ht="12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2:15" ht="12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2:15" ht="12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2:15" ht="12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2:15" ht="12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2:15" ht="12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2:15" ht="12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2:15" ht="12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2:15" ht="12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2:15" ht="12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2:15" ht="12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2:15" ht="12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2:15" ht="12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2:15" ht="12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2:15" ht="12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2:15" ht="12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2:15" ht="12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2:15" ht="12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2:15" ht="12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2:15" ht="12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2:15" ht="12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2:15" ht="12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2:15" ht="12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2:15" ht="12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2:15" ht="12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2:15" ht="12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2:15" ht="12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2:15" ht="12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2:15" ht="12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2:15" ht="12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2:15" ht="12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2:15" ht="12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2:15" ht="12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2:15" ht="12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2:15" ht="12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2:15" ht="12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2:15" ht="12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2:15" ht="12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2:15" ht="12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2:15" ht="12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2:15" ht="12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2:15" ht="12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2:15" ht="12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2:15" ht="12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2:15" ht="12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2:15" ht="12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2:15" ht="12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2:15" ht="12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2:15" ht="12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2:15" ht="12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2:15" ht="12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2:15" ht="12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2:15" ht="12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2:15" ht="12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2:15" ht="12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2:15" ht="12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2:15" ht="12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2:15" ht="12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2:15" ht="12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2:15" ht="12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2:15" ht="12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2:15" ht="12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2:15" ht="12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2:15" ht="12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2:15" ht="12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2:15" ht="12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2:15" ht="12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2:15" ht="12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2:15" ht="12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2:15" ht="12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2:15" ht="12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2:15" ht="12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2:15" ht="12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2:15" ht="12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2:15" ht="12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2:15" ht="12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2:15" ht="12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2:15" ht="12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2:15" ht="12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2:15" ht="12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2:15" ht="12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2:15" ht="12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2:15" ht="12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2:15" ht="12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2:15" ht="12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2:15" ht="12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2:15" ht="12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2:15" ht="12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2:15" ht="12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2:15" ht="12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2:15" ht="12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2:15" ht="12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2:15" ht="12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2:15" ht="12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2:15" ht="12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2:15" ht="12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2:15" ht="12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2:15" ht="12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2:15" ht="12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2:15" ht="12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2:15" ht="12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2:15" ht="12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2:15" ht="12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2:15" ht="12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2:15" ht="12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2:15" ht="12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2:15" ht="12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2:15" ht="12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2:15" ht="12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2:15" ht="12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2:15" ht="12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2:15" ht="12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2:15" ht="12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2:15" ht="12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2:15" ht="12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2:15" ht="12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2:15" ht="12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2:15" ht="12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2:15" ht="12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2:15" ht="12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2:15" ht="12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2:15" ht="12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2:15" ht="12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2:15" ht="12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2:15" ht="12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2:15" ht="12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2:15" ht="12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2:15" ht="12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2:15" ht="12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2:15" ht="12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2:15" ht="12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2:15" ht="12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2:15" ht="12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2:15" ht="12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2:15" ht="12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2:15" ht="12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2:15" ht="12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2:15" ht="12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2:15" ht="12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2:15" ht="12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2:15" ht="12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2:15" ht="12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2:15" ht="12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2:15" ht="12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2:15" ht="12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2:15" ht="12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2:15" ht="12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2:15" ht="12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2:15" ht="12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2:15" ht="12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2:15" ht="12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2:15" ht="12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2:15" ht="12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2:15" ht="12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2:15" ht="12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2:15" ht="12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2:15" ht="12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2:15" ht="12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2:15" ht="12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2:15" ht="12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2:15" ht="12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2:15" ht="12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2:15" ht="12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2:15" ht="12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2:15" ht="12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2:15" ht="12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2:15" ht="12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2:15" ht="12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2:15" ht="12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2:15" ht="12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2:15" ht="12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2:15" ht="12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2:15" ht="12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2:15" ht="12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2:15" ht="12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2:15" ht="12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2:15" ht="12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2:15" ht="12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2:15" ht="12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2:15" ht="12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2:15" ht="12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2:15" ht="12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2:15" ht="12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2:15" ht="12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2:15" ht="12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2:15" ht="12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2:15" ht="12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2:15" ht="12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2:15" ht="12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2:15" ht="12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2:15" ht="12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2:15" ht="12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2:15" ht="12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2:15" ht="12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2:15" ht="12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2:15" ht="12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2:15" ht="12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2:15" ht="12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2:15" ht="12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2:15" ht="12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2:15" ht="12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2:15" ht="12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2:15" ht="12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2:15" ht="12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2:15" ht="12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2:15" ht="12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2:15" ht="12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2:15" ht="12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2:15" ht="12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2:15" ht="12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2:15" ht="12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2:15" ht="12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2:15" ht="12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2:15" ht="12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2:15" ht="12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2:15" ht="12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2:15" ht="12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2:15" ht="12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2:15" ht="12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2:15" ht="12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2:15" ht="12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2:15" ht="12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2:15" ht="12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2:15" ht="12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2:15" ht="12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2:15" ht="12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2:15" ht="12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2:15" ht="12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2:15" ht="12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2:15" ht="12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2:15" ht="12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2:15" ht="12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2:15" ht="12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2:15" ht="12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2:15" ht="12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2:15" ht="12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2:15" ht="12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2:15" ht="12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2:15" ht="12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2:15" ht="12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2:15" ht="12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2:15" ht="12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2:15" ht="12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2:15" ht="12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2:15" ht="12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2:15" ht="12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2:15" ht="12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2:15" ht="12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2:15" ht="12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2:15" ht="12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2:15" ht="12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2:15" ht="12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2:15" ht="12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2:15" ht="12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2:15" ht="12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2:15" ht="12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2:15" ht="12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2:15" ht="12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2:15" ht="12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2:15" ht="12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2:15" ht="12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2:15" ht="12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2:15" ht="12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2:15" ht="12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2:15" ht="12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2:15" ht="12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2:15" ht="12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2:15" ht="12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2:15" ht="12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2:15" ht="12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2:15" ht="12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2:15" ht="12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2:15" ht="12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2:15" ht="12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2:15" ht="12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2:15" ht="12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2:15" ht="12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2:15" ht="12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2:15" ht="12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2:15" ht="12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2:15" ht="12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2:15" ht="12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2:15" ht="12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2:15" ht="12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2:15" ht="12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2:15" ht="12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2:15" ht="12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2:15" ht="12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2:15" ht="12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2:15" ht="12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2:15" ht="12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2:15" ht="12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2:15" ht="12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2:15" ht="12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2:15" ht="12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2:15" ht="12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2:15" ht="12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2:15" ht="12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2:15" ht="12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2:15" ht="12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2:15" ht="12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2:15" ht="12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2:15" ht="12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2:15" ht="12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2:15" ht="12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2:15" ht="12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2:15" ht="12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2:15" ht="12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2:15" ht="12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2:15" ht="12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2:15" ht="12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2:15" ht="12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2:15" ht="12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2:15" ht="12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2:15" ht="12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2:15" ht="12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2:15" ht="12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2:15" ht="12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2:15" ht="12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2:15" ht="12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2:15" ht="12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2:15" ht="12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2:15" ht="12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2:15" ht="12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2:15" ht="12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2:15" ht="12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2:15" ht="12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2:15" ht="12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2:15" ht="12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2:15" ht="12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2:15" ht="12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2:15" ht="12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2:15" ht="12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2:15" ht="12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2:15" ht="12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2:15" ht="12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2:15" ht="12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2:15" ht="12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2:15" ht="12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2:15" ht="12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2:15" ht="12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2:15" ht="12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2:15" ht="12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2:15" ht="12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2:15" ht="12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2:15" ht="12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2:15" ht="12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2:15" ht="12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2:15" ht="12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2:15" ht="12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2:15" ht="12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2:15" ht="12.75" customHeight="1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2:15" ht="12.75" customHeight="1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2:15" ht="12.75" customHeight="1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2:15" ht="12.75" customHeight="1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2:15" ht="12.75" customHeight="1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2:15" ht="12.75" customHeight="1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2:15" ht="12.75" customHeight="1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2:15" ht="12.75" customHeight="1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2:15" ht="12.75" customHeight="1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2:15" ht="12.75" customHeight="1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2:15" ht="12.75" customHeight="1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2:15" ht="12.75" customHeight="1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7"/>
  <sheetViews>
    <sheetView tabSelected="1" topLeftCell="A23" workbookViewId="0">
      <selection activeCell="F55" sqref="F55"/>
    </sheetView>
  </sheetViews>
  <sheetFormatPr defaultColWidth="14.42578125" defaultRowHeight="15" customHeight="1" x14ac:dyDescent="0.2"/>
  <cols>
    <col min="1" max="1" width="8.7109375" customWidth="1"/>
    <col min="2" max="2" width="9.140625" customWidth="1"/>
    <col min="3" max="3" width="10.5703125" customWidth="1"/>
    <col min="4" max="5" width="9.140625" customWidth="1"/>
    <col min="6" max="6" width="13" customWidth="1"/>
    <col min="7" max="10" width="9.140625" customWidth="1"/>
    <col min="11" max="11" width="12" customWidth="1"/>
    <col min="12" max="14" width="9.140625" customWidth="1"/>
    <col min="15" max="25" width="8.7109375" customWidth="1"/>
  </cols>
  <sheetData>
    <row r="1" spans="1:14" ht="19.5" customHeight="1" x14ac:dyDescent="0.2">
      <c r="B1" s="1"/>
      <c r="C1" s="1" t="s">
        <v>1</v>
      </c>
      <c r="D1" s="1" t="s">
        <v>2</v>
      </c>
      <c r="E1" s="1" t="s">
        <v>18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12</v>
      </c>
    </row>
    <row r="2" spans="1:14" ht="12.75" customHeight="1" x14ac:dyDescent="0.2">
      <c r="A2" s="2">
        <v>2024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2.75" customHeight="1" x14ac:dyDescent="0.2">
      <c r="A3" s="2" t="s">
        <v>13</v>
      </c>
      <c r="B3" s="1"/>
      <c r="C3" s="3"/>
      <c r="D3" s="3"/>
      <c r="E3" s="3">
        <v>0.13900000000000001</v>
      </c>
      <c r="F3" s="3">
        <v>0.88</v>
      </c>
      <c r="G3" s="3">
        <v>1.1100000000000001</v>
      </c>
      <c r="H3" s="3"/>
      <c r="I3" s="3">
        <v>1.1100000000000001</v>
      </c>
      <c r="J3" s="3">
        <v>1.6</v>
      </c>
      <c r="K3" s="3">
        <v>2.11</v>
      </c>
      <c r="L3" s="3">
        <v>2.2999999999999998</v>
      </c>
      <c r="M3" s="3">
        <v>2.5</v>
      </c>
      <c r="N3" s="3">
        <v>2.7</v>
      </c>
    </row>
    <row r="4" spans="1:14" ht="12.75" customHeight="1" x14ac:dyDescent="0.2">
      <c r="A4" s="2" t="s">
        <v>14</v>
      </c>
      <c r="B4" s="1"/>
      <c r="C4" s="3"/>
      <c r="D4" s="3"/>
      <c r="E4" s="3">
        <v>3.6019999999999999</v>
      </c>
      <c r="F4" s="3">
        <v>6.9904999999999999</v>
      </c>
      <c r="G4" s="3">
        <v>7.6787999999999998</v>
      </c>
      <c r="H4" s="3"/>
      <c r="I4" s="3">
        <v>7.6787999999999998</v>
      </c>
      <c r="J4" s="3">
        <v>7.67</v>
      </c>
      <c r="K4" s="3">
        <v>7.67</v>
      </c>
      <c r="L4" s="4">
        <v>7.9</v>
      </c>
      <c r="M4" s="3">
        <v>8.6</v>
      </c>
      <c r="N4" s="3">
        <v>9.41</v>
      </c>
    </row>
    <row r="5" spans="1:14" ht="12.75" customHeight="1" x14ac:dyDescent="0.2">
      <c r="A5" s="2" t="s">
        <v>15</v>
      </c>
      <c r="B5" s="1"/>
      <c r="C5" s="3"/>
      <c r="D5" s="3"/>
      <c r="E5" s="3" t="s">
        <v>20</v>
      </c>
      <c r="F5" s="3">
        <v>2.1800000000000002</v>
      </c>
      <c r="G5" s="3">
        <v>2.48</v>
      </c>
      <c r="H5" s="3"/>
      <c r="I5" s="3">
        <v>2.48</v>
      </c>
      <c r="J5" s="3">
        <v>4.5</v>
      </c>
      <c r="K5" s="3">
        <v>5.3</v>
      </c>
      <c r="L5" s="3">
        <v>6.8</v>
      </c>
      <c r="M5" s="3">
        <v>7.9</v>
      </c>
      <c r="N5" s="3">
        <v>8.9</v>
      </c>
    </row>
    <row r="6" spans="1:14" ht="12.75" customHeight="1" x14ac:dyDescent="0.2">
      <c r="A6" s="2" t="s">
        <v>16</v>
      </c>
      <c r="B6" s="1"/>
      <c r="C6" s="3"/>
      <c r="D6" s="3"/>
      <c r="E6" s="3">
        <v>29</v>
      </c>
      <c r="F6" s="3">
        <v>33.29</v>
      </c>
      <c r="G6" s="3">
        <v>43.9</v>
      </c>
      <c r="H6" s="3"/>
      <c r="I6" s="3">
        <v>59.68</v>
      </c>
      <c r="J6" s="3">
        <v>74.900000000000006</v>
      </c>
      <c r="K6" s="3">
        <v>105</v>
      </c>
      <c r="L6" s="3">
        <v>164</v>
      </c>
      <c r="M6" s="3">
        <v>224.6</v>
      </c>
      <c r="N6" s="3">
        <v>283</v>
      </c>
    </row>
    <row r="7" spans="1:14" ht="12.75" customHeight="1" x14ac:dyDescent="0.2">
      <c r="A7" s="2" t="s">
        <v>17</v>
      </c>
      <c r="B7" s="1"/>
      <c r="C7" s="3"/>
      <c r="D7" s="3"/>
      <c r="E7" s="3">
        <v>2</v>
      </c>
      <c r="F7" s="3">
        <v>3.31</v>
      </c>
      <c r="G7" s="3">
        <v>8.07</v>
      </c>
      <c r="H7" s="3"/>
      <c r="I7" s="3">
        <v>15.15</v>
      </c>
      <c r="J7" s="3">
        <v>19.899999999999999</v>
      </c>
      <c r="K7" s="3">
        <v>28</v>
      </c>
      <c r="L7" s="3">
        <v>45</v>
      </c>
      <c r="M7" s="3">
        <v>60.7</v>
      </c>
      <c r="N7" s="3">
        <v>76</v>
      </c>
    </row>
    <row r="8" spans="1:14" ht="12.75" customHeight="1" x14ac:dyDescent="0.2">
      <c r="B8" s="1"/>
      <c r="C8" s="3"/>
      <c r="D8" s="3"/>
      <c r="E8" s="3"/>
      <c r="F8" s="3"/>
      <c r="G8" s="3"/>
      <c r="H8" s="3"/>
      <c r="I8" s="3"/>
      <c r="J8" s="1"/>
      <c r="K8" s="1"/>
      <c r="L8" s="3"/>
      <c r="M8" s="1"/>
      <c r="N8" s="1"/>
    </row>
    <row r="9" spans="1:14" ht="12.75" customHeight="1" x14ac:dyDescent="0.2">
      <c r="A9" s="2" t="s">
        <v>13</v>
      </c>
      <c r="B9" s="1"/>
      <c r="C9" s="3"/>
      <c r="D9" s="3"/>
      <c r="E9" s="3"/>
      <c r="F9" s="3"/>
      <c r="G9" s="3">
        <f t="shared" ref="G9:G13" si="0">G3-F3</f>
        <v>0.23000000000000009</v>
      </c>
      <c r="H9" s="3"/>
      <c r="I9" s="3"/>
      <c r="J9" s="1">
        <f t="shared" ref="J9:K9" si="1">J3-I3</f>
        <v>0.49</v>
      </c>
      <c r="K9" s="1">
        <f t="shared" si="1"/>
        <v>0.50999999999999979</v>
      </c>
      <c r="L9" s="3"/>
      <c r="M9" s="1">
        <f t="shared" ref="M9:N9" si="2">M3-L3</f>
        <v>0.20000000000000018</v>
      </c>
      <c r="N9" s="1">
        <f t="shared" si="2"/>
        <v>0.20000000000000018</v>
      </c>
    </row>
    <row r="10" spans="1:14" ht="12.75" customHeight="1" x14ac:dyDescent="0.2">
      <c r="A10" s="2" t="s">
        <v>14</v>
      </c>
      <c r="B10" s="1"/>
      <c r="C10" s="3"/>
      <c r="D10" s="3"/>
      <c r="E10" s="3"/>
      <c r="F10" s="3"/>
      <c r="G10" s="3">
        <f t="shared" si="0"/>
        <v>0.68829999999999991</v>
      </c>
      <c r="H10" s="3"/>
      <c r="I10" s="3"/>
      <c r="J10" s="1">
        <f t="shared" ref="J10:K10" si="3">J4-I4</f>
        <v>-8.799999999999919E-3</v>
      </c>
      <c r="K10" s="1">
        <f t="shared" si="3"/>
        <v>0</v>
      </c>
      <c r="L10" s="3"/>
      <c r="M10" s="1">
        <f t="shared" ref="M10:N10" si="4">M4-L4</f>
        <v>0.69999999999999929</v>
      </c>
      <c r="N10" s="1">
        <f t="shared" si="4"/>
        <v>0.8100000000000005</v>
      </c>
    </row>
    <row r="11" spans="1:14" ht="12.75" customHeight="1" x14ac:dyDescent="0.2">
      <c r="A11" s="2" t="s">
        <v>15</v>
      </c>
      <c r="B11" s="1"/>
      <c r="C11" s="1"/>
      <c r="D11" s="1"/>
      <c r="E11" s="1"/>
      <c r="F11" s="1"/>
      <c r="G11" s="3">
        <f t="shared" si="0"/>
        <v>0.29999999999999982</v>
      </c>
      <c r="H11" s="1"/>
      <c r="I11" s="1"/>
      <c r="J11" s="1">
        <f t="shared" ref="J11:K11" si="5">J5-I5</f>
        <v>2.02</v>
      </c>
      <c r="K11" s="1">
        <f t="shared" si="5"/>
        <v>0.79999999999999982</v>
      </c>
      <c r="L11" s="1"/>
      <c r="M11" s="1">
        <f t="shared" ref="M11:N11" si="6">M5-L5</f>
        <v>1.1000000000000005</v>
      </c>
      <c r="N11" s="1">
        <f t="shared" si="6"/>
        <v>1</v>
      </c>
    </row>
    <row r="12" spans="1:14" ht="12.75" customHeight="1" x14ac:dyDescent="0.2">
      <c r="A12" s="2" t="s">
        <v>16</v>
      </c>
      <c r="B12" s="1"/>
      <c r="C12" s="1"/>
      <c r="D12" s="1"/>
      <c r="E12" s="1"/>
      <c r="F12" s="1"/>
      <c r="G12" s="3">
        <f t="shared" si="0"/>
        <v>10.61</v>
      </c>
      <c r="H12" s="1"/>
      <c r="I12" s="1"/>
      <c r="J12" s="1">
        <f t="shared" ref="J12:K12" si="7">J6-I6</f>
        <v>15.220000000000006</v>
      </c>
      <c r="K12" s="1">
        <f t="shared" si="7"/>
        <v>30.099999999999994</v>
      </c>
      <c r="L12" s="1"/>
      <c r="M12" s="1">
        <f t="shared" ref="M12:N12" si="8">M6-L6</f>
        <v>60.599999999999994</v>
      </c>
      <c r="N12" s="1">
        <f t="shared" si="8"/>
        <v>58.400000000000006</v>
      </c>
    </row>
    <row r="13" spans="1:14" ht="12.75" customHeight="1" x14ac:dyDescent="0.2">
      <c r="A13" s="2" t="s">
        <v>17</v>
      </c>
      <c r="B13" s="1"/>
      <c r="C13" s="1"/>
      <c r="D13" s="1"/>
      <c r="E13" s="1"/>
      <c r="F13" s="1"/>
      <c r="G13" s="3">
        <f t="shared" si="0"/>
        <v>4.76</v>
      </c>
      <c r="H13" s="1"/>
      <c r="I13" s="1"/>
      <c r="J13" s="1">
        <f t="shared" ref="J13:K13" si="9">J7-I7</f>
        <v>4.7499999999999982</v>
      </c>
      <c r="K13" s="1">
        <f t="shared" si="9"/>
        <v>8.1000000000000014</v>
      </c>
      <c r="L13" s="1"/>
      <c r="M13" s="1">
        <f t="shared" ref="M13:N13" si="10">M7-L7</f>
        <v>15.700000000000003</v>
      </c>
      <c r="N13" s="1">
        <f t="shared" si="10"/>
        <v>15.299999999999997</v>
      </c>
    </row>
    <row r="14" spans="1:14" ht="12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2.7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customHeight="1" x14ac:dyDescent="0.2">
      <c r="B16" s="1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2.75" customHeight="1" x14ac:dyDescent="0.2">
      <c r="A17" s="2">
        <v>2024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2.75" customHeight="1" x14ac:dyDescent="0.2">
      <c r="A18" s="2" t="s">
        <v>13</v>
      </c>
      <c r="B18" s="3">
        <v>2.7</v>
      </c>
      <c r="C18" s="3">
        <v>3.05</v>
      </c>
      <c r="D18" s="3">
        <v>3.27</v>
      </c>
      <c r="E18" s="3">
        <v>3.46</v>
      </c>
      <c r="F18" s="10">
        <v>3.7</v>
      </c>
      <c r="G18" s="3">
        <v>4.04</v>
      </c>
      <c r="H18" s="10">
        <v>4.2</v>
      </c>
      <c r="I18" s="3">
        <v>4.4800000000000004</v>
      </c>
      <c r="J18" s="11">
        <v>4.71</v>
      </c>
      <c r="K18" s="3">
        <v>4.8499999999999996</v>
      </c>
      <c r="L18" s="3">
        <v>5.01</v>
      </c>
      <c r="M18" s="3">
        <v>5.0999999999999996</v>
      </c>
      <c r="N18" s="3">
        <v>5.32</v>
      </c>
    </row>
    <row r="19" spans="1:14" ht="12.75" customHeight="1" x14ac:dyDescent="0.2">
      <c r="A19" s="2" t="s">
        <v>14</v>
      </c>
      <c r="B19" s="3">
        <v>9.41</v>
      </c>
      <c r="C19" s="3">
        <v>10.029999999999999</v>
      </c>
      <c r="D19" s="3">
        <v>10.59</v>
      </c>
      <c r="E19" s="3">
        <v>10.99</v>
      </c>
      <c r="F19" s="10">
        <v>11.27</v>
      </c>
      <c r="G19" s="3">
        <v>11.3</v>
      </c>
      <c r="H19" s="10">
        <v>11.307</v>
      </c>
      <c r="I19" s="3">
        <v>11.307</v>
      </c>
      <c r="J19" s="11">
        <v>11.307</v>
      </c>
      <c r="K19" s="3">
        <v>11.307</v>
      </c>
      <c r="L19" s="4">
        <v>11.48</v>
      </c>
      <c r="M19" s="3">
        <v>11.96</v>
      </c>
      <c r="N19" s="3">
        <v>12.64</v>
      </c>
    </row>
    <row r="20" spans="1:14" ht="12.75" customHeight="1" x14ac:dyDescent="0.2">
      <c r="A20" s="2" t="s">
        <v>15</v>
      </c>
      <c r="B20" s="3">
        <v>8.9</v>
      </c>
      <c r="C20" s="3">
        <v>10</v>
      </c>
      <c r="D20" s="3">
        <v>11.34</v>
      </c>
      <c r="E20" s="3">
        <v>12.28</v>
      </c>
      <c r="F20" s="10">
        <v>13.3</v>
      </c>
      <c r="G20" s="3">
        <v>14.5</v>
      </c>
      <c r="H20" s="10">
        <v>15.5</v>
      </c>
      <c r="I20" s="3">
        <v>17.11</v>
      </c>
      <c r="J20" s="11">
        <v>18.8</v>
      </c>
      <c r="K20" s="3">
        <v>20.37</v>
      </c>
      <c r="L20" s="3">
        <v>22.06</v>
      </c>
      <c r="M20" s="3">
        <v>23.8</v>
      </c>
      <c r="N20" s="14">
        <v>25.17</v>
      </c>
    </row>
    <row r="21" spans="1:14" ht="12.75" customHeight="1" x14ac:dyDescent="0.2">
      <c r="A21" s="2" t="s">
        <v>16</v>
      </c>
      <c r="B21" s="3">
        <v>283</v>
      </c>
      <c r="C21" s="3">
        <v>346</v>
      </c>
      <c r="D21" s="3">
        <v>416</v>
      </c>
      <c r="E21" s="1">
        <v>473</v>
      </c>
      <c r="F21" s="10">
        <v>530</v>
      </c>
      <c r="G21" s="3">
        <v>589</v>
      </c>
      <c r="H21" s="10">
        <v>651</v>
      </c>
      <c r="I21" s="3">
        <v>705</v>
      </c>
      <c r="J21" s="11">
        <v>757</v>
      </c>
      <c r="K21" s="3">
        <v>798</v>
      </c>
      <c r="L21" s="3">
        <v>845</v>
      </c>
      <c r="M21" s="3">
        <v>900</v>
      </c>
      <c r="N21" s="3">
        <v>943</v>
      </c>
    </row>
    <row r="22" spans="1:14" ht="12.75" customHeight="1" x14ac:dyDescent="0.2">
      <c r="A22" s="2" t="s">
        <v>17</v>
      </c>
      <c r="B22" s="3">
        <v>76</v>
      </c>
      <c r="C22" s="3">
        <v>92</v>
      </c>
      <c r="D22" s="3">
        <v>111</v>
      </c>
      <c r="E22" s="1">
        <v>130</v>
      </c>
      <c r="F22" s="10">
        <v>150</v>
      </c>
      <c r="G22" s="3">
        <v>169</v>
      </c>
      <c r="H22" s="10">
        <v>192</v>
      </c>
      <c r="I22" s="3">
        <v>212</v>
      </c>
      <c r="J22" s="11">
        <v>230</v>
      </c>
      <c r="K22" s="3">
        <v>246</v>
      </c>
      <c r="L22" s="3">
        <v>261</v>
      </c>
      <c r="M22" s="3">
        <v>278</v>
      </c>
      <c r="N22" s="3">
        <v>293</v>
      </c>
    </row>
    <row r="23" spans="1:14" ht="12.75" customHeight="1" x14ac:dyDescent="0.2">
      <c r="B23" s="1"/>
      <c r="C23" s="3"/>
      <c r="D23" s="3"/>
      <c r="E23" s="3"/>
      <c r="F23" s="3"/>
      <c r="G23" s="3"/>
      <c r="H23" s="3"/>
      <c r="I23" s="3"/>
      <c r="J23" s="1"/>
      <c r="K23" s="1"/>
      <c r="L23" s="3"/>
      <c r="M23" s="1"/>
      <c r="N23" s="1"/>
    </row>
    <row r="24" spans="1:14" ht="12.75" customHeight="1" x14ac:dyDescent="0.2">
      <c r="A24" s="2" t="s">
        <v>13</v>
      </c>
      <c r="B24" s="1" t="e">
        <f t="shared" ref="B24:F24" si="11">B18-A18</f>
        <v>#VALUE!</v>
      </c>
      <c r="C24" s="1">
        <f t="shared" si="11"/>
        <v>0.34999999999999964</v>
      </c>
      <c r="D24" s="1">
        <f t="shared" si="11"/>
        <v>0.2200000000000002</v>
      </c>
      <c r="E24" s="1">
        <f t="shared" si="11"/>
        <v>0.18999999999999995</v>
      </c>
      <c r="F24" s="1">
        <f t="shared" si="11"/>
        <v>0.24000000000000021</v>
      </c>
      <c r="G24" s="3">
        <f t="shared" ref="G24:K28" si="12">G18-F18</f>
        <v>0.33999999999999986</v>
      </c>
      <c r="H24" s="3">
        <f t="shared" si="12"/>
        <v>0.16000000000000014</v>
      </c>
      <c r="I24" s="3">
        <f t="shared" si="12"/>
        <v>0.28000000000000025</v>
      </c>
      <c r="J24" s="3">
        <f t="shared" si="12"/>
        <v>0.22999999999999954</v>
      </c>
      <c r="K24" s="3">
        <f t="shared" si="12"/>
        <v>0.13999999999999968</v>
      </c>
      <c r="L24" s="3"/>
      <c r="M24" s="1"/>
      <c r="N24" s="3">
        <f t="shared" ref="N24:N28" si="13">N18-M18</f>
        <v>0.22000000000000064</v>
      </c>
    </row>
    <row r="25" spans="1:14" ht="12.75" customHeight="1" x14ac:dyDescent="0.2">
      <c r="A25" s="2" t="s">
        <v>14</v>
      </c>
      <c r="B25" s="1" t="e">
        <f t="shared" ref="B25:F25" si="14">B19-A19</f>
        <v>#VALUE!</v>
      </c>
      <c r="C25" s="1">
        <f t="shared" si="14"/>
        <v>0.61999999999999922</v>
      </c>
      <c r="D25" s="1">
        <f t="shared" si="14"/>
        <v>0.5600000000000005</v>
      </c>
      <c r="E25" s="1">
        <f t="shared" si="14"/>
        <v>0.40000000000000036</v>
      </c>
      <c r="F25" s="1">
        <f t="shared" si="14"/>
        <v>0.27999999999999936</v>
      </c>
      <c r="G25" s="3">
        <f t="shared" si="12"/>
        <v>3.0000000000001137E-2</v>
      </c>
      <c r="H25" s="3">
        <f t="shared" si="12"/>
        <v>6.9999999999996732E-3</v>
      </c>
      <c r="I25" s="3">
        <f t="shared" si="12"/>
        <v>0</v>
      </c>
      <c r="J25" s="3">
        <f t="shared" si="12"/>
        <v>0</v>
      </c>
      <c r="K25" s="3">
        <f t="shared" si="12"/>
        <v>0</v>
      </c>
      <c r="L25" s="3"/>
      <c r="M25" s="1"/>
      <c r="N25" s="3">
        <f t="shared" si="13"/>
        <v>0.67999999999999972</v>
      </c>
    </row>
    <row r="26" spans="1:14" ht="12.75" customHeight="1" x14ac:dyDescent="0.2">
      <c r="A26" s="2" t="s">
        <v>15</v>
      </c>
      <c r="B26" s="1" t="e">
        <f t="shared" ref="B26:F26" si="15">B20-A20</f>
        <v>#VALUE!</v>
      </c>
      <c r="C26" s="1">
        <f t="shared" si="15"/>
        <v>1.0999999999999996</v>
      </c>
      <c r="D26" s="1">
        <f t="shared" si="15"/>
        <v>1.3399999999999999</v>
      </c>
      <c r="E26" s="1">
        <f t="shared" si="15"/>
        <v>0.9399999999999995</v>
      </c>
      <c r="F26" s="1">
        <f t="shared" si="15"/>
        <v>1.0200000000000014</v>
      </c>
      <c r="G26" s="3">
        <f t="shared" si="12"/>
        <v>1.1999999999999993</v>
      </c>
      <c r="H26" s="3">
        <f t="shared" si="12"/>
        <v>1</v>
      </c>
      <c r="I26" s="3">
        <f t="shared" si="12"/>
        <v>1.6099999999999994</v>
      </c>
      <c r="J26" s="3">
        <f t="shared" si="12"/>
        <v>1.6900000000000013</v>
      </c>
      <c r="K26" s="3">
        <f t="shared" si="12"/>
        <v>1.5700000000000003</v>
      </c>
      <c r="L26" s="1"/>
      <c r="M26" s="1"/>
      <c r="N26" s="3">
        <f t="shared" si="13"/>
        <v>1.370000000000001</v>
      </c>
    </row>
    <row r="27" spans="1:14" ht="12.75" customHeight="1" x14ac:dyDescent="0.2">
      <c r="A27" s="2" t="s">
        <v>16</v>
      </c>
      <c r="B27" s="1" t="e">
        <f t="shared" ref="B27:F27" si="16">B21-A21</f>
        <v>#VALUE!</v>
      </c>
      <c r="C27" s="1">
        <f t="shared" si="16"/>
        <v>63</v>
      </c>
      <c r="D27" s="1">
        <f t="shared" si="16"/>
        <v>70</v>
      </c>
      <c r="E27" s="1">
        <f t="shared" si="16"/>
        <v>57</v>
      </c>
      <c r="F27" s="1">
        <f t="shared" si="16"/>
        <v>57</v>
      </c>
      <c r="G27" s="3">
        <f t="shared" si="12"/>
        <v>59</v>
      </c>
      <c r="H27" s="3">
        <f t="shared" si="12"/>
        <v>62</v>
      </c>
      <c r="I27" s="3">
        <f t="shared" si="12"/>
        <v>54</v>
      </c>
      <c r="J27" s="3">
        <f t="shared" si="12"/>
        <v>52</v>
      </c>
      <c r="K27" s="3">
        <f t="shared" si="12"/>
        <v>41</v>
      </c>
      <c r="L27" s="1"/>
      <c r="M27" s="1"/>
      <c r="N27" s="3">
        <f t="shared" si="13"/>
        <v>43</v>
      </c>
    </row>
    <row r="28" spans="1:14" ht="12.75" customHeight="1" x14ac:dyDescent="0.2">
      <c r="A28" s="2" t="s">
        <v>17</v>
      </c>
      <c r="B28" s="1" t="e">
        <f t="shared" ref="B28:F28" si="17">B22-A22</f>
        <v>#VALUE!</v>
      </c>
      <c r="C28" s="1">
        <f t="shared" si="17"/>
        <v>16</v>
      </c>
      <c r="D28" s="1">
        <f t="shared" si="17"/>
        <v>19</v>
      </c>
      <c r="E28" s="1">
        <f t="shared" si="17"/>
        <v>19</v>
      </c>
      <c r="F28" s="1">
        <f t="shared" si="17"/>
        <v>20</v>
      </c>
      <c r="G28" s="3">
        <f t="shared" si="12"/>
        <v>19</v>
      </c>
      <c r="H28" s="3">
        <f t="shared" si="12"/>
        <v>23</v>
      </c>
      <c r="I28" s="3">
        <f t="shared" si="12"/>
        <v>20</v>
      </c>
      <c r="J28" s="3">
        <f t="shared" si="12"/>
        <v>18</v>
      </c>
      <c r="K28" s="3">
        <f t="shared" si="12"/>
        <v>16</v>
      </c>
      <c r="L28" s="1"/>
      <c r="M28" s="1"/>
      <c r="N28" s="3">
        <f t="shared" si="13"/>
        <v>15</v>
      </c>
    </row>
    <row r="29" spans="1:14" ht="12.75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2.75" customHeight="1" x14ac:dyDescent="0.2">
      <c r="A30" s="2">
        <v>2026</v>
      </c>
      <c r="C30" s="1" t="s">
        <v>1</v>
      </c>
      <c r="D30" s="1" t="s">
        <v>2</v>
      </c>
      <c r="E30" s="1" t="s">
        <v>18</v>
      </c>
      <c r="F30" s="1" t="s">
        <v>4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19</v>
      </c>
      <c r="N30" s="1" t="s">
        <v>12</v>
      </c>
    </row>
    <row r="31" spans="1:14" ht="12.75" customHeight="1" x14ac:dyDescent="0.2">
      <c r="A31" s="2" t="s">
        <v>15</v>
      </c>
      <c r="B31" s="3">
        <v>25.17</v>
      </c>
      <c r="C31" s="3">
        <v>25.81</v>
      </c>
      <c r="D31" s="3"/>
      <c r="E31" s="3"/>
      <c r="F31" s="10"/>
      <c r="G31" s="3"/>
      <c r="H31" s="10"/>
      <c r="I31" s="3"/>
      <c r="J31" s="11"/>
      <c r="K31" s="3"/>
      <c r="L31" s="3"/>
      <c r="M31" s="3"/>
      <c r="N31" s="14"/>
    </row>
    <row r="32" spans="1:14" ht="12.75" customHeight="1" x14ac:dyDescent="0.2">
      <c r="A32" s="2" t="s">
        <v>13</v>
      </c>
      <c r="B32" s="3">
        <v>5.32</v>
      </c>
      <c r="C32" s="3">
        <v>5.47</v>
      </c>
      <c r="D32" s="3"/>
      <c r="E32" s="3"/>
      <c r="F32" s="10"/>
      <c r="G32" s="3"/>
      <c r="H32" s="10"/>
      <c r="I32" s="3"/>
      <c r="J32" s="11"/>
      <c r="K32" s="3"/>
      <c r="L32" s="3"/>
      <c r="M32" s="3"/>
      <c r="N32" s="3"/>
    </row>
    <row r="33" spans="1:14" ht="12.75" customHeight="1" x14ac:dyDescent="0.2">
      <c r="A33" s="2" t="s">
        <v>16</v>
      </c>
      <c r="B33" s="3">
        <v>943</v>
      </c>
      <c r="C33" s="3">
        <v>976</v>
      </c>
      <c r="D33" s="3"/>
      <c r="E33" s="1"/>
      <c r="F33" s="10"/>
      <c r="G33" s="3"/>
      <c r="H33" s="10"/>
      <c r="I33" s="3"/>
      <c r="J33" s="11"/>
      <c r="K33" s="3"/>
      <c r="L33" s="3"/>
      <c r="M33" s="3"/>
      <c r="N33" s="3"/>
    </row>
    <row r="34" spans="1:14" ht="12.75" customHeight="1" x14ac:dyDescent="0.2">
      <c r="A34" s="2" t="s">
        <v>17</v>
      </c>
      <c r="B34" s="3">
        <v>293</v>
      </c>
      <c r="C34" s="3">
        <v>305</v>
      </c>
      <c r="D34" s="3"/>
      <c r="E34" s="1"/>
      <c r="F34" s="10"/>
      <c r="G34" s="3"/>
      <c r="H34" s="10"/>
      <c r="I34" s="3"/>
      <c r="J34" s="11"/>
      <c r="K34" s="3"/>
      <c r="L34" s="3"/>
      <c r="M34" s="3"/>
      <c r="N34" s="3"/>
    </row>
    <row r="35" spans="1:14" ht="12.75" customHeight="1" x14ac:dyDescent="0.2">
      <c r="A35" s="2" t="s">
        <v>14</v>
      </c>
      <c r="B35" s="3">
        <v>12.64</v>
      </c>
      <c r="C35" s="3">
        <v>13.27</v>
      </c>
      <c r="D35" s="3"/>
      <c r="E35" s="3"/>
      <c r="F35" s="10"/>
      <c r="G35" s="3"/>
      <c r="H35" s="10"/>
      <c r="I35" s="3"/>
      <c r="J35" s="11"/>
      <c r="K35" s="3"/>
      <c r="L35" s="4"/>
      <c r="M35" s="3"/>
      <c r="N35" s="3"/>
    </row>
    <row r="36" spans="1:14" ht="12.75" customHeight="1" x14ac:dyDescent="0.2">
      <c r="B36" s="1"/>
      <c r="C36" s="3"/>
      <c r="D36" s="3"/>
      <c r="E36" s="3"/>
      <c r="F36" s="3"/>
      <c r="G36" s="3"/>
      <c r="H36" s="3"/>
      <c r="I36" s="3"/>
      <c r="J36" s="1"/>
      <c r="K36" s="1"/>
      <c r="L36" s="3"/>
      <c r="M36" s="1"/>
      <c r="N36" s="1"/>
    </row>
    <row r="37" spans="1:14" ht="12.75" customHeight="1" x14ac:dyDescent="0.2">
      <c r="A37" s="2" t="s">
        <v>15</v>
      </c>
      <c r="B37" s="1" t="e">
        <f>B31-A31</f>
        <v>#VALUE!</v>
      </c>
      <c r="C37" s="1">
        <f>C31-B31</f>
        <v>0.63999999999999702</v>
      </c>
      <c r="D37" s="1">
        <f>D31-C31</f>
        <v>-25.81</v>
      </c>
      <c r="E37" s="1">
        <f>E31-D31</f>
        <v>0</v>
      </c>
      <c r="F37" s="1">
        <f>F31-E31</f>
        <v>0</v>
      </c>
      <c r="G37" s="3">
        <f>G31-F31</f>
        <v>0</v>
      </c>
      <c r="H37" s="3">
        <f>H31-G31</f>
        <v>0</v>
      </c>
      <c r="I37" s="3">
        <f>I31-H31</f>
        <v>0</v>
      </c>
      <c r="J37" s="3">
        <f>J31-I31</f>
        <v>0</v>
      </c>
      <c r="K37" s="3">
        <f>K31-J31</f>
        <v>0</v>
      </c>
      <c r="L37" s="1"/>
      <c r="M37" s="1"/>
      <c r="N37" s="3">
        <f>N31-M31</f>
        <v>0</v>
      </c>
    </row>
    <row r="38" spans="1:14" ht="12.75" customHeight="1" x14ac:dyDescent="0.2">
      <c r="A38" s="2" t="s">
        <v>13</v>
      </c>
      <c r="B38" s="1" t="e">
        <f>B32-A32</f>
        <v>#VALUE!</v>
      </c>
      <c r="C38" s="1">
        <f>C32-B32</f>
        <v>0.14999999999999947</v>
      </c>
      <c r="D38" s="1">
        <f>D32-C32</f>
        <v>-5.47</v>
      </c>
      <c r="E38" s="1">
        <f>E32-D32</f>
        <v>0</v>
      </c>
      <c r="F38" s="1">
        <f>F32-E32</f>
        <v>0</v>
      </c>
      <c r="G38" s="3">
        <f>G32-F32</f>
        <v>0</v>
      </c>
      <c r="H38" s="3">
        <f>H32-G32</f>
        <v>0</v>
      </c>
      <c r="I38" s="3">
        <f>I32-H32</f>
        <v>0</v>
      </c>
      <c r="J38" s="3">
        <f>J32-I32</f>
        <v>0</v>
      </c>
      <c r="K38" s="3">
        <f>K32-J32</f>
        <v>0</v>
      </c>
      <c r="L38" s="3"/>
      <c r="M38" s="1"/>
      <c r="N38" s="3">
        <f>N32-M32</f>
        <v>0</v>
      </c>
    </row>
    <row r="39" spans="1:14" ht="12.75" customHeight="1" x14ac:dyDescent="0.2">
      <c r="A39" s="2" t="s">
        <v>16</v>
      </c>
      <c r="B39" s="1" t="e">
        <f t="shared" ref="B39:B40" si="18">B33-A33</f>
        <v>#VALUE!</v>
      </c>
      <c r="C39" s="1">
        <f t="shared" ref="C39:C40" si="19">C33-B33</f>
        <v>33</v>
      </c>
      <c r="D39" s="1">
        <f t="shared" ref="D39:D40" si="20">D33-C33</f>
        <v>-976</v>
      </c>
      <c r="E39" s="1">
        <f t="shared" ref="E39:E40" si="21">E33-D33</f>
        <v>0</v>
      </c>
      <c r="F39" s="1">
        <f t="shared" ref="F39:F40" si="22">F33-E33</f>
        <v>0</v>
      </c>
      <c r="G39" s="3">
        <f t="shared" ref="G39:G40" si="23">G33-F33</f>
        <v>0</v>
      </c>
      <c r="H39" s="3">
        <f t="shared" ref="H39:H40" si="24">H33-G33</f>
        <v>0</v>
      </c>
      <c r="I39" s="3">
        <f t="shared" ref="I39:I40" si="25">I33-H33</f>
        <v>0</v>
      </c>
      <c r="J39" s="3">
        <f t="shared" ref="J39:J40" si="26">J33-I33</f>
        <v>0</v>
      </c>
      <c r="K39" s="3">
        <f t="shared" ref="K39:K40" si="27">K33-J33</f>
        <v>0</v>
      </c>
      <c r="L39" s="1"/>
      <c r="M39" s="1"/>
      <c r="N39" s="3">
        <f t="shared" ref="N39:N40" si="28">N33-M33</f>
        <v>0</v>
      </c>
    </row>
    <row r="40" spans="1:14" ht="12.75" customHeight="1" x14ac:dyDescent="0.2">
      <c r="A40" s="2" t="s">
        <v>17</v>
      </c>
      <c r="B40" s="1" t="e">
        <f t="shared" si="18"/>
        <v>#VALUE!</v>
      </c>
      <c r="C40" s="1">
        <f t="shared" si="19"/>
        <v>12</v>
      </c>
      <c r="D40" s="1">
        <f t="shared" si="20"/>
        <v>-305</v>
      </c>
      <c r="E40" s="1">
        <f t="shared" si="21"/>
        <v>0</v>
      </c>
      <c r="F40" s="1">
        <f t="shared" si="22"/>
        <v>0</v>
      </c>
      <c r="G40" s="3">
        <f t="shared" si="23"/>
        <v>0</v>
      </c>
      <c r="H40" s="3">
        <f t="shared" si="24"/>
        <v>0</v>
      </c>
      <c r="I40" s="3">
        <f t="shared" si="25"/>
        <v>0</v>
      </c>
      <c r="J40" s="3">
        <f t="shared" si="26"/>
        <v>0</v>
      </c>
      <c r="K40" s="3">
        <f t="shared" si="27"/>
        <v>0</v>
      </c>
      <c r="L40" s="1"/>
      <c r="M40" s="1"/>
      <c r="N40" s="3">
        <f t="shared" si="28"/>
        <v>0</v>
      </c>
    </row>
    <row r="41" spans="1:14" ht="12.75" customHeight="1" x14ac:dyDescent="0.2">
      <c r="A41" s="2" t="s">
        <v>14</v>
      </c>
      <c r="B41" s="1" t="e">
        <f>B35-A35</f>
        <v>#VALUE!</v>
      </c>
      <c r="C41" s="1">
        <f>C35-B35</f>
        <v>0.62999999999999901</v>
      </c>
      <c r="D41" s="1">
        <f>D35-C35</f>
        <v>-13.27</v>
      </c>
      <c r="E41" s="1">
        <f>E35-D35</f>
        <v>0</v>
      </c>
      <c r="F41" s="1">
        <f>F35-E35</f>
        <v>0</v>
      </c>
      <c r="G41" s="3">
        <f>G35-F35</f>
        <v>0</v>
      </c>
      <c r="H41" s="3">
        <f>H35-G35</f>
        <v>0</v>
      </c>
      <c r="I41" s="3">
        <f>I35-H35</f>
        <v>0</v>
      </c>
      <c r="J41" s="3">
        <f>J35-I35</f>
        <v>0</v>
      </c>
      <c r="K41" s="3">
        <f>K35-J35</f>
        <v>0</v>
      </c>
      <c r="L41" s="3"/>
      <c r="M41" s="1"/>
      <c r="N41" s="3">
        <f>N35-M35</f>
        <v>0</v>
      </c>
    </row>
    <row r="42" spans="1:14" ht="12.75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2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2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2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2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2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2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2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2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2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2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12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2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2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12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12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12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2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12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12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12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12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2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2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2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2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2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2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2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2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2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2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2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2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2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2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2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2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2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2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2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2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2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2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2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2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2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2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2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2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2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2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2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2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2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2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2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2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2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2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2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2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2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2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2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2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2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2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2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2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2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2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2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2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2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2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2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2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2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2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2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2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2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2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2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2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2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2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2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2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2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2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2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2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2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2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2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2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2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2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2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2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2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2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2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2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2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2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2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2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2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2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2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2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2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2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2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2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2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2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2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2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2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2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2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2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2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2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2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2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2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2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2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2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2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2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2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2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2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2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2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2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2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2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2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2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2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2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2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2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2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2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2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2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2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2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2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2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2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2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2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2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2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2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2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2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2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2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2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2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2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2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2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2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2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2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2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2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2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2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2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2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2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2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2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2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2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2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2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2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2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2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2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2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2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2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2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2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2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2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2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2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2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2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2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2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2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2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2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2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2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2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2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2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2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2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2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2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2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2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2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2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2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2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2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2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2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2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2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2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2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2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2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2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2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2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2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2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2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2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2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2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2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2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2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2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2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2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2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2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2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2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2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2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2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2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2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2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2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2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2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2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2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2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2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2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2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2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2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2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2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2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2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2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2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2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2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2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2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2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2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2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2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2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2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2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2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2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2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2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2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2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2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2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2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2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2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2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2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2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2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2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2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2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2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2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2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2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2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2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2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2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2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2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2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2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2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2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2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2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2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2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2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2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2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2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2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2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2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2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2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2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2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2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2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2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2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2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2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2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2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2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2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2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2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2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2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2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2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2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2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2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2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2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2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2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2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2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2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2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2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2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2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2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2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2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2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2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2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2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2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2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2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2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2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2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2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2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2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2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2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2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2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2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2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2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2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2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2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2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2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2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2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2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2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2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2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2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2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2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2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2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2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2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2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2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2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2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2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2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2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2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2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2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2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2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2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2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2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2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2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2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2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2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2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2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2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2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2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2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2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2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2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2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2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2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2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2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2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2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2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2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2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2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2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2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2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2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2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2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2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2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2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2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2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2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2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2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2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2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2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2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2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2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2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2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2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2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2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2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2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2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2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2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2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2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2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2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2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2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2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2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2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2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2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2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2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2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2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2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2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2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2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2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2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2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2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2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2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2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2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2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2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2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2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2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2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2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2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2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2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2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2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2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2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2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2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2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2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2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2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2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2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2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2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2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2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2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2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2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2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2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2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2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2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2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2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2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2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2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2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2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2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2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2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2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2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2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2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2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2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2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2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2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2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2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2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2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2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2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2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2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2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2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2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2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2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2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2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2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2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2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2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2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2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2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2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2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2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2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2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2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2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2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2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2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2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2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2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2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2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2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2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2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2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2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2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2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2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2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2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2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2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2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2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2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2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2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2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2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2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2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2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2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2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2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2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2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2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2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2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2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2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2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2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2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2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2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2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2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2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2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2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2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2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2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2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2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2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2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2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2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2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2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2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2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2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2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2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2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2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2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2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2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2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2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2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2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2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2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2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2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2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2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2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2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2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2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2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2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2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2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2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2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2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2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2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2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2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2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2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2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2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2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2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2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2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2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2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2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2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2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2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2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2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2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2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2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2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2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2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2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2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2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2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2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2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2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2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2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2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2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2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2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2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2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2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2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2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2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2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2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2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2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2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2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2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2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2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2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2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2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2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2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2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2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2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2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2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2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2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2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2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2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2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2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2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2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2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2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2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2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2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2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2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2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2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2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2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2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2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2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2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2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2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2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2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2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2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2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2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2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2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2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2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2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2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2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2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2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2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2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2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2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2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2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2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2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2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2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2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2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2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2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2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2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2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2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2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2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2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2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2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2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2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2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2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2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2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2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2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2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2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2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2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2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2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2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2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2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2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2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2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2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2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2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2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2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2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2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2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2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2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2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2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2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2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2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2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2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2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2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2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2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2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2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2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2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2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2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2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2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2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2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2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2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2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2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2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2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2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2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2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2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2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2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2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2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2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2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2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2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2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2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2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2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2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2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2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2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2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2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2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2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2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2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2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2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2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2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2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2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2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2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2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2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2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2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2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2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2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2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2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2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2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2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2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2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2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2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2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2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2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2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2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2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2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31"/>
  <sheetViews>
    <sheetView workbookViewId="0"/>
  </sheetViews>
  <sheetFormatPr defaultColWidth="14.42578125" defaultRowHeight="15" customHeight="1" x14ac:dyDescent="0.2"/>
  <sheetData>
    <row r="1" spans="1:15" ht="15" customHeight="1" x14ac:dyDescent="0.2">
      <c r="B1" s="1"/>
      <c r="C1" s="1" t="s">
        <v>1</v>
      </c>
      <c r="D1" s="1" t="s">
        <v>2</v>
      </c>
      <c r="E1" s="1" t="s">
        <v>18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12</v>
      </c>
      <c r="O1" s="1"/>
    </row>
    <row r="2" spans="1:15" ht="15" customHeight="1" x14ac:dyDescent="0.2">
      <c r="A2" s="2">
        <v>2024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spans="1:15" ht="15" customHeight="1" x14ac:dyDescent="0.2">
      <c r="A3" s="2" t="s">
        <v>13</v>
      </c>
      <c r="B3" s="3"/>
      <c r="C3" s="3"/>
      <c r="D3" s="3"/>
      <c r="E3" s="3">
        <v>0.126</v>
      </c>
      <c r="F3" s="3">
        <v>0.63</v>
      </c>
      <c r="G3" s="1">
        <v>0.65</v>
      </c>
      <c r="H3" s="3"/>
      <c r="I3" s="1">
        <v>0.65</v>
      </c>
      <c r="J3" s="3">
        <v>0.75</v>
      </c>
      <c r="K3" s="3">
        <v>0.97</v>
      </c>
      <c r="L3" s="3">
        <v>1.5</v>
      </c>
      <c r="M3" s="3">
        <v>1.65</v>
      </c>
      <c r="N3" s="3">
        <v>3.7</v>
      </c>
      <c r="O3" s="1"/>
    </row>
    <row r="4" spans="1:15" ht="15" customHeight="1" x14ac:dyDescent="0.2">
      <c r="A4" s="2" t="s">
        <v>14</v>
      </c>
      <c r="B4" s="3"/>
      <c r="C4" s="3"/>
      <c r="D4" s="3"/>
      <c r="E4" s="3">
        <v>3.41</v>
      </c>
      <c r="F4" s="3">
        <v>7.76</v>
      </c>
      <c r="G4" s="3">
        <v>8.4537999999999993</v>
      </c>
      <c r="H4" s="3"/>
      <c r="I4" s="3">
        <v>8.4537999999999993</v>
      </c>
      <c r="J4" s="3">
        <v>8.4537999999999993</v>
      </c>
      <c r="K4" s="3">
        <v>8.4537999999999993</v>
      </c>
      <c r="L4" s="3">
        <v>8.6999999999999993</v>
      </c>
      <c r="M4" s="3">
        <v>9.4</v>
      </c>
      <c r="N4" s="3">
        <v>10.24</v>
      </c>
      <c r="O4" s="1"/>
    </row>
    <row r="5" spans="1:15" ht="15" customHeight="1" x14ac:dyDescent="0.2">
      <c r="A5" s="2" t="s">
        <v>15</v>
      </c>
      <c r="B5" s="3"/>
      <c r="C5" s="3"/>
      <c r="D5" s="3"/>
      <c r="E5" s="3">
        <v>0.20599999999999999</v>
      </c>
      <c r="F5" s="3">
        <v>2.56</v>
      </c>
      <c r="G5" s="1">
        <v>2.6</v>
      </c>
      <c r="H5" s="3"/>
      <c r="I5" s="1">
        <v>2.6</v>
      </c>
      <c r="J5" s="3">
        <v>3</v>
      </c>
      <c r="K5" s="3">
        <v>3.77</v>
      </c>
      <c r="L5" s="3">
        <v>4.0999999999999996</v>
      </c>
      <c r="M5" s="3">
        <v>4.5</v>
      </c>
      <c r="N5" s="3">
        <v>7.2</v>
      </c>
      <c r="O5" s="1"/>
    </row>
    <row r="6" spans="1:15" ht="15" customHeight="1" x14ac:dyDescent="0.2">
      <c r="A6" s="2" t="s">
        <v>16</v>
      </c>
      <c r="B6" s="3"/>
      <c r="C6" s="3"/>
      <c r="D6" s="3"/>
      <c r="E6" s="3">
        <v>37</v>
      </c>
      <c r="F6" s="3">
        <v>43.01</v>
      </c>
      <c r="G6" s="3">
        <v>47.01</v>
      </c>
      <c r="H6" s="3"/>
      <c r="I6" s="3">
        <v>48.07</v>
      </c>
      <c r="J6" s="3">
        <v>57.3</v>
      </c>
      <c r="K6" s="3">
        <v>69</v>
      </c>
      <c r="L6" s="3">
        <v>82</v>
      </c>
      <c r="M6" s="3">
        <v>92</v>
      </c>
      <c r="N6" s="3">
        <v>134</v>
      </c>
      <c r="O6" s="1"/>
    </row>
    <row r="7" spans="1:15" ht="15" customHeight="1" x14ac:dyDescent="0.2">
      <c r="A7" s="2" t="s">
        <v>17</v>
      </c>
      <c r="B7" s="3"/>
      <c r="C7" s="3"/>
      <c r="D7" s="3"/>
      <c r="E7" s="3">
        <v>2</v>
      </c>
      <c r="F7" s="3">
        <v>2.99</v>
      </c>
      <c r="G7" s="3">
        <v>3.21</v>
      </c>
      <c r="H7" s="3"/>
      <c r="I7" s="3">
        <v>3.21</v>
      </c>
      <c r="J7" s="3">
        <v>7</v>
      </c>
      <c r="K7" s="3">
        <v>12</v>
      </c>
      <c r="L7" s="3">
        <v>14</v>
      </c>
      <c r="M7" s="3">
        <v>14.9</v>
      </c>
      <c r="N7" s="3">
        <v>25</v>
      </c>
      <c r="O7" s="1"/>
    </row>
    <row r="8" spans="1:15" ht="15" customHeight="1" x14ac:dyDescent="0.2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1"/>
    </row>
    <row r="9" spans="1:15" ht="15" customHeight="1" x14ac:dyDescent="0.2">
      <c r="A9" s="2" t="s">
        <v>13</v>
      </c>
      <c r="B9" s="3"/>
      <c r="C9" s="3"/>
      <c r="D9" s="3"/>
      <c r="E9" s="3"/>
      <c r="F9" s="3"/>
      <c r="G9" s="3">
        <f t="shared" ref="G9:G13" si="0">G3-F3</f>
        <v>2.0000000000000018E-2</v>
      </c>
      <c r="H9" s="3"/>
      <c r="I9" s="3"/>
      <c r="J9" s="3">
        <f t="shared" ref="J9:N9" si="1">J3-I3</f>
        <v>9.9999999999999978E-2</v>
      </c>
      <c r="K9" s="3">
        <f t="shared" si="1"/>
        <v>0.21999999999999997</v>
      </c>
      <c r="L9" s="3">
        <f t="shared" si="1"/>
        <v>0.53</v>
      </c>
      <c r="M9" s="3">
        <f t="shared" si="1"/>
        <v>0.14999999999999991</v>
      </c>
      <c r="N9" s="3">
        <f t="shared" si="1"/>
        <v>2.0500000000000003</v>
      </c>
      <c r="O9" s="1"/>
    </row>
    <row r="10" spans="1:15" ht="15" customHeight="1" x14ac:dyDescent="0.2">
      <c r="A10" s="2" t="s">
        <v>14</v>
      </c>
      <c r="B10" s="3"/>
      <c r="C10" s="3"/>
      <c r="D10" s="3"/>
      <c r="E10" s="3"/>
      <c r="F10" s="3"/>
      <c r="G10" s="3">
        <f t="shared" si="0"/>
        <v>0.69379999999999953</v>
      </c>
      <c r="H10" s="3"/>
      <c r="I10" s="3"/>
      <c r="J10" s="3">
        <f t="shared" ref="J10:N10" si="2">J4-I4</f>
        <v>0</v>
      </c>
      <c r="K10" s="3">
        <f t="shared" si="2"/>
        <v>0</v>
      </c>
      <c r="L10" s="3">
        <f t="shared" si="2"/>
        <v>0.24619999999999997</v>
      </c>
      <c r="M10" s="3">
        <f t="shared" si="2"/>
        <v>0.70000000000000107</v>
      </c>
      <c r="N10" s="3">
        <f t="shared" si="2"/>
        <v>0.83999999999999986</v>
      </c>
      <c r="O10" s="1"/>
    </row>
    <row r="11" spans="1:15" ht="15" customHeight="1" x14ac:dyDescent="0.2">
      <c r="A11" s="2" t="s">
        <v>15</v>
      </c>
      <c r="B11" s="1"/>
      <c r="C11" s="1"/>
      <c r="D11" s="1"/>
      <c r="E11" s="1"/>
      <c r="F11" s="1"/>
      <c r="G11" s="3">
        <f t="shared" si="0"/>
        <v>4.0000000000000036E-2</v>
      </c>
      <c r="H11" s="1"/>
      <c r="I11" s="1"/>
      <c r="J11" s="3">
        <f t="shared" ref="J11:N11" si="3">J5-I5</f>
        <v>0.39999999999999991</v>
      </c>
      <c r="K11" s="3">
        <f t="shared" si="3"/>
        <v>0.77</v>
      </c>
      <c r="L11" s="3">
        <f t="shared" si="3"/>
        <v>0.32999999999999963</v>
      </c>
      <c r="M11" s="3">
        <f t="shared" si="3"/>
        <v>0.40000000000000036</v>
      </c>
      <c r="N11" s="3">
        <f t="shared" si="3"/>
        <v>2.7</v>
      </c>
      <c r="O11" s="1"/>
    </row>
    <row r="12" spans="1:15" ht="15" customHeight="1" x14ac:dyDescent="0.2">
      <c r="A12" s="2" t="s">
        <v>16</v>
      </c>
      <c r="B12" s="1"/>
      <c r="C12" s="1"/>
      <c r="D12" s="1"/>
      <c r="E12" s="1"/>
      <c r="F12" s="1"/>
      <c r="G12" s="3">
        <f t="shared" si="0"/>
        <v>4</v>
      </c>
      <c r="H12" s="1"/>
      <c r="I12" s="1"/>
      <c r="J12" s="3">
        <f t="shared" ref="J12:N12" si="4">J6-I6</f>
        <v>9.2299999999999969</v>
      </c>
      <c r="K12" s="3">
        <f t="shared" si="4"/>
        <v>11.700000000000003</v>
      </c>
      <c r="L12" s="3">
        <f t="shared" si="4"/>
        <v>13</v>
      </c>
      <c r="M12" s="3">
        <f t="shared" si="4"/>
        <v>10</v>
      </c>
      <c r="N12" s="3">
        <f t="shared" si="4"/>
        <v>42</v>
      </c>
      <c r="O12" s="1"/>
    </row>
    <row r="13" spans="1:15" ht="15" customHeight="1" x14ac:dyDescent="0.2">
      <c r="A13" s="2" t="s">
        <v>17</v>
      </c>
      <c r="B13" s="1"/>
      <c r="C13" s="1"/>
      <c r="D13" s="1"/>
      <c r="E13" s="1"/>
      <c r="F13" s="1"/>
      <c r="G13" s="3">
        <f t="shared" si="0"/>
        <v>0.21999999999999975</v>
      </c>
      <c r="H13" s="1"/>
      <c r="I13" s="1"/>
      <c r="J13" s="3">
        <f t="shared" ref="J13:N13" si="5">J7-I7</f>
        <v>3.79</v>
      </c>
      <c r="K13" s="3">
        <f t="shared" si="5"/>
        <v>5</v>
      </c>
      <c r="L13" s="3">
        <f t="shared" si="5"/>
        <v>2</v>
      </c>
      <c r="M13" s="3">
        <f t="shared" si="5"/>
        <v>0.90000000000000036</v>
      </c>
      <c r="N13" s="3">
        <f t="shared" si="5"/>
        <v>10.1</v>
      </c>
      <c r="O13" s="1"/>
    </row>
    <row r="14" spans="1:15" ht="1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" customHeight="1" x14ac:dyDescent="0.2">
      <c r="B18" s="1"/>
      <c r="C18" s="1"/>
      <c r="D18" s="8">
        <v>45704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" customHeight="1" x14ac:dyDescent="0.2">
      <c r="A19" s="2" t="s">
        <v>13</v>
      </c>
      <c r="B19" s="3" t="s">
        <v>0</v>
      </c>
      <c r="C19" s="3" t="s">
        <v>0</v>
      </c>
      <c r="D19" s="3" t="s">
        <v>0</v>
      </c>
      <c r="E19" s="3" t="s">
        <v>0</v>
      </c>
      <c r="F19" s="3" t="s">
        <v>0</v>
      </c>
      <c r="G19" s="1" t="s">
        <v>0</v>
      </c>
      <c r="H19" s="3"/>
      <c r="I19" s="1">
        <v>0.65</v>
      </c>
      <c r="J19" s="3">
        <v>0.75</v>
      </c>
      <c r="K19" s="3">
        <v>0.97</v>
      </c>
      <c r="L19" s="3">
        <v>1.5</v>
      </c>
      <c r="M19" s="3">
        <v>1.65</v>
      </c>
      <c r="N19" s="3">
        <v>3.7</v>
      </c>
      <c r="O19" s="1"/>
    </row>
    <row r="20" spans="1:15" ht="15" customHeight="1" x14ac:dyDescent="0.2">
      <c r="A20" s="2" t="s">
        <v>14</v>
      </c>
      <c r="B20" s="3" t="s">
        <v>0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/>
      <c r="I20" s="3">
        <v>8.4537999999999993</v>
      </c>
      <c r="J20" s="3">
        <v>8.4537999999999993</v>
      </c>
      <c r="K20" s="3">
        <v>8.4537999999999993</v>
      </c>
      <c r="L20" s="3">
        <v>8.6999999999999993</v>
      </c>
      <c r="M20" s="3">
        <v>9.4</v>
      </c>
      <c r="N20" s="3">
        <v>10.24</v>
      </c>
      <c r="O20" s="1"/>
    </row>
    <row r="21" spans="1:15" ht="15" customHeight="1" x14ac:dyDescent="0.2">
      <c r="A21" s="2" t="s">
        <v>15</v>
      </c>
      <c r="B21" s="3" t="s">
        <v>0</v>
      </c>
      <c r="C21" s="3" t="s">
        <v>0</v>
      </c>
      <c r="D21" s="3" t="s">
        <v>0</v>
      </c>
      <c r="E21" s="3" t="s">
        <v>0</v>
      </c>
      <c r="F21" s="3" t="s">
        <v>0</v>
      </c>
      <c r="G21" s="1" t="s">
        <v>0</v>
      </c>
      <c r="H21" s="3"/>
      <c r="I21" s="1">
        <v>2.6</v>
      </c>
      <c r="J21" s="3">
        <v>3</v>
      </c>
      <c r="K21" s="3">
        <v>3.77</v>
      </c>
      <c r="L21" s="3">
        <v>4.0999999999999996</v>
      </c>
      <c r="M21" s="3">
        <v>4.5</v>
      </c>
      <c r="N21" s="3">
        <v>7.2</v>
      </c>
      <c r="O21" s="1"/>
    </row>
    <row r="22" spans="1:15" ht="15" customHeight="1" x14ac:dyDescent="0.2">
      <c r="A22" s="2" t="s">
        <v>16</v>
      </c>
      <c r="B22" s="3" t="s">
        <v>0</v>
      </c>
      <c r="C22" s="3" t="s">
        <v>0</v>
      </c>
      <c r="D22" s="3">
        <v>5818</v>
      </c>
      <c r="E22" s="3" t="s">
        <v>0</v>
      </c>
      <c r="F22" s="3" t="s">
        <v>0</v>
      </c>
      <c r="G22" s="3" t="s">
        <v>0</v>
      </c>
      <c r="H22" s="3"/>
      <c r="I22" s="3">
        <v>48.07</v>
      </c>
      <c r="J22" s="3">
        <v>57.3</v>
      </c>
      <c r="K22" s="3">
        <v>69</v>
      </c>
      <c r="L22" s="3">
        <v>82</v>
      </c>
      <c r="M22" s="3">
        <v>92</v>
      </c>
      <c r="N22" s="3">
        <v>134</v>
      </c>
      <c r="O22" s="1"/>
    </row>
    <row r="23" spans="1:15" ht="15" customHeight="1" x14ac:dyDescent="0.2">
      <c r="A23" s="2" t="s">
        <v>17</v>
      </c>
      <c r="B23" s="3" t="s">
        <v>0</v>
      </c>
      <c r="C23" s="3" t="s">
        <v>0</v>
      </c>
      <c r="D23" s="3">
        <v>3792</v>
      </c>
      <c r="E23" s="3" t="s">
        <v>0</v>
      </c>
      <c r="F23" s="3" t="s">
        <v>0</v>
      </c>
      <c r="G23" s="3" t="s">
        <v>0</v>
      </c>
      <c r="H23" s="3"/>
      <c r="I23" s="3">
        <v>3.21</v>
      </c>
      <c r="J23" s="3">
        <v>7</v>
      </c>
      <c r="K23" s="3">
        <v>12</v>
      </c>
      <c r="L23" s="3">
        <v>14</v>
      </c>
      <c r="M23" s="3">
        <v>14.9</v>
      </c>
      <c r="N23" s="3">
        <v>25</v>
      </c>
      <c r="O23" s="1"/>
    </row>
    <row r="24" spans="1:15" ht="15" customHeight="1" x14ac:dyDescent="0.2">
      <c r="B24" s="3" t="s">
        <v>0</v>
      </c>
      <c r="C24" s="3" t="s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"/>
    </row>
    <row r="25" spans="1:15" ht="15" customHeight="1" x14ac:dyDescent="0.2">
      <c r="A25" s="2" t="s">
        <v>13</v>
      </c>
      <c r="B25" s="3" t="s">
        <v>0</v>
      </c>
      <c r="C25" s="3" t="s">
        <v>0</v>
      </c>
      <c r="D25" s="3" t="e">
        <f t="shared" ref="D25:D29" si="6">D19-C19</f>
        <v>#VALUE!</v>
      </c>
      <c r="E25" s="3"/>
      <c r="F25" s="3"/>
      <c r="G25" s="3" t="e">
        <f t="shared" ref="G25:G29" si="7">G19-F19</f>
        <v>#VALUE!</v>
      </c>
      <c r="H25" s="3"/>
      <c r="I25" s="3"/>
      <c r="J25" s="3">
        <f t="shared" ref="J25:N25" si="8">J19-I19</f>
        <v>9.9999999999999978E-2</v>
      </c>
      <c r="K25" s="3">
        <f t="shared" si="8"/>
        <v>0.21999999999999997</v>
      </c>
      <c r="L25" s="3">
        <f t="shared" si="8"/>
        <v>0.53</v>
      </c>
      <c r="M25" s="3">
        <f t="shared" si="8"/>
        <v>0.14999999999999991</v>
      </c>
      <c r="N25" s="3">
        <f t="shared" si="8"/>
        <v>2.0500000000000003</v>
      </c>
      <c r="O25" s="1"/>
    </row>
    <row r="26" spans="1:15" ht="15" customHeight="1" x14ac:dyDescent="0.2">
      <c r="A26" s="2" t="s">
        <v>14</v>
      </c>
      <c r="B26" s="3" t="s">
        <v>0</v>
      </c>
      <c r="C26" s="3" t="s">
        <v>0</v>
      </c>
      <c r="D26" s="3" t="e">
        <f t="shared" si="6"/>
        <v>#VALUE!</v>
      </c>
      <c r="E26" s="3"/>
      <c r="F26" s="3"/>
      <c r="G26" s="3" t="e">
        <f t="shared" si="7"/>
        <v>#VALUE!</v>
      </c>
      <c r="H26" s="3"/>
      <c r="I26" s="3"/>
      <c r="J26" s="3">
        <f t="shared" ref="J26:N26" si="9">J20-I20</f>
        <v>0</v>
      </c>
      <c r="K26" s="3">
        <f t="shared" si="9"/>
        <v>0</v>
      </c>
      <c r="L26" s="3">
        <f t="shared" si="9"/>
        <v>0.24619999999999997</v>
      </c>
      <c r="M26" s="3">
        <f t="shared" si="9"/>
        <v>0.70000000000000107</v>
      </c>
      <c r="N26" s="3">
        <f t="shared" si="9"/>
        <v>0.83999999999999986</v>
      </c>
      <c r="O26" s="1"/>
    </row>
    <row r="27" spans="1:15" ht="15" customHeight="1" x14ac:dyDescent="0.2">
      <c r="A27" s="2" t="s">
        <v>15</v>
      </c>
      <c r="B27" s="3" t="s">
        <v>0</v>
      </c>
      <c r="C27" s="3" t="s">
        <v>0</v>
      </c>
      <c r="D27" s="3" t="e">
        <f t="shared" si="6"/>
        <v>#VALUE!</v>
      </c>
      <c r="E27" s="1"/>
      <c r="F27" s="1"/>
      <c r="G27" s="3" t="e">
        <f t="shared" si="7"/>
        <v>#VALUE!</v>
      </c>
      <c r="H27" s="1"/>
      <c r="I27" s="1"/>
      <c r="J27" s="3">
        <f t="shared" ref="J27:N27" si="10">J21-I21</f>
        <v>0.39999999999999991</v>
      </c>
      <c r="K27" s="3">
        <f t="shared" si="10"/>
        <v>0.77</v>
      </c>
      <c r="L27" s="3">
        <f t="shared" si="10"/>
        <v>0.32999999999999963</v>
      </c>
      <c r="M27" s="3">
        <f t="shared" si="10"/>
        <v>0.40000000000000036</v>
      </c>
      <c r="N27" s="3">
        <f t="shared" si="10"/>
        <v>2.7</v>
      </c>
      <c r="O27" s="1"/>
    </row>
    <row r="28" spans="1:15" ht="15" customHeight="1" x14ac:dyDescent="0.2">
      <c r="A28" s="2" t="s">
        <v>16</v>
      </c>
      <c r="B28" s="3" t="s">
        <v>0</v>
      </c>
      <c r="C28" s="3" t="s">
        <v>0</v>
      </c>
      <c r="D28" s="3" t="e">
        <f t="shared" si="6"/>
        <v>#VALUE!</v>
      </c>
      <c r="E28" s="1"/>
      <c r="F28" s="1"/>
      <c r="G28" s="3" t="e">
        <f t="shared" si="7"/>
        <v>#VALUE!</v>
      </c>
      <c r="H28" s="1"/>
      <c r="I28" s="1"/>
      <c r="J28" s="3">
        <f t="shared" ref="J28:N28" si="11">J22-I22</f>
        <v>9.2299999999999969</v>
      </c>
      <c r="K28" s="3">
        <f t="shared" si="11"/>
        <v>11.700000000000003</v>
      </c>
      <c r="L28" s="3">
        <f t="shared" si="11"/>
        <v>13</v>
      </c>
      <c r="M28" s="3">
        <f t="shared" si="11"/>
        <v>10</v>
      </c>
      <c r="N28" s="3">
        <f t="shared" si="11"/>
        <v>42</v>
      </c>
      <c r="O28" s="1"/>
    </row>
    <row r="29" spans="1:15" ht="15" customHeight="1" x14ac:dyDescent="0.2">
      <c r="A29" s="2" t="s">
        <v>17</v>
      </c>
      <c r="B29" s="3" t="s">
        <v>0</v>
      </c>
      <c r="C29" s="3" t="s">
        <v>0</v>
      </c>
      <c r="D29" s="3" t="e">
        <f t="shared" si="6"/>
        <v>#VALUE!</v>
      </c>
      <c r="E29" s="1"/>
      <c r="F29" s="1"/>
      <c r="G29" s="3" t="e">
        <f t="shared" si="7"/>
        <v>#VALUE!</v>
      </c>
      <c r="H29" s="1"/>
      <c r="I29" s="1"/>
      <c r="J29" s="3">
        <f t="shared" ref="J29:N29" si="12">J23-I23</f>
        <v>3.79</v>
      </c>
      <c r="K29" s="3">
        <f t="shared" si="12"/>
        <v>5</v>
      </c>
      <c r="L29" s="3">
        <f t="shared" si="12"/>
        <v>2</v>
      </c>
      <c r="M29" s="3">
        <f t="shared" si="12"/>
        <v>0.90000000000000036</v>
      </c>
      <c r="N29" s="3">
        <f t="shared" si="12"/>
        <v>10.1</v>
      </c>
      <c r="O29" s="1"/>
    </row>
    <row r="30" spans="1:15" ht="15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"/>
  <cols>
    <col min="1" max="1" width="8.7109375" customWidth="1"/>
    <col min="2" max="3" width="9.140625" customWidth="1"/>
    <col min="4" max="4" width="10.42578125" customWidth="1"/>
    <col min="5" max="5" width="9.5703125" customWidth="1"/>
    <col min="6" max="13" width="9.140625" customWidth="1"/>
    <col min="14" max="25" width="8.7109375" customWidth="1"/>
  </cols>
  <sheetData>
    <row r="1" spans="1:14" ht="12.75" customHeight="1" x14ac:dyDescent="0.2">
      <c r="B1" s="1" t="s">
        <v>1</v>
      </c>
      <c r="C1" s="1" t="s">
        <v>2</v>
      </c>
      <c r="D1" s="1" t="s">
        <v>18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19</v>
      </c>
      <c r="M1" s="1" t="s">
        <v>12</v>
      </c>
      <c r="N1" s="1"/>
    </row>
    <row r="2" spans="1:14" ht="12.75" customHeight="1" x14ac:dyDescent="0.2">
      <c r="A2" s="2">
        <v>2024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spans="1:14" ht="12.75" customHeight="1" x14ac:dyDescent="0.2">
      <c r="A3" s="2" t="s">
        <v>13</v>
      </c>
      <c r="B3" s="3"/>
      <c r="C3" s="3"/>
      <c r="D3" s="3"/>
      <c r="E3" s="3"/>
      <c r="F3" s="1"/>
      <c r="G3" s="3"/>
      <c r="H3" s="3">
        <v>182.18</v>
      </c>
      <c r="I3" s="3">
        <v>182.28</v>
      </c>
      <c r="J3" s="3"/>
      <c r="K3" s="3"/>
      <c r="L3" s="3"/>
      <c r="M3" s="3"/>
      <c r="N3" s="1"/>
    </row>
    <row r="4" spans="1:14" ht="12.75" customHeight="1" x14ac:dyDescent="0.2">
      <c r="A4" s="2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</row>
    <row r="5" spans="1:14" ht="12.75" customHeight="1" x14ac:dyDescent="0.2">
      <c r="A5" s="2" t="s">
        <v>15</v>
      </c>
      <c r="B5" s="3"/>
      <c r="C5" s="3"/>
      <c r="D5" s="3"/>
      <c r="E5" s="3"/>
      <c r="F5" s="1"/>
      <c r="G5" s="3"/>
      <c r="H5" s="3">
        <v>420.65</v>
      </c>
      <c r="I5" s="3">
        <v>423.21</v>
      </c>
      <c r="J5" s="3"/>
      <c r="K5" s="3"/>
      <c r="L5" s="3"/>
      <c r="M5" s="3"/>
      <c r="N5" s="1"/>
    </row>
    <row r="6" spans="1:14" ht="12.75" customHeight="1" x14ac:dyDescent="0.2">
      <c r="A6" s="2" t="s">
        <v>16</v>
      </c>
      <c r="B6" s="3"/>
      <c r="C6" s="3"/>
      <c r="D6" s="3"/>
      <c r="E6" s="3">
        <v>7468.26</v>
      </c>
      <c r="F6" s="3">
        <v>7539.96</v>
      </c>
      <c r="G6" s="3"/>
      <c r="H6" s="3">
        <v>7688.38</v>
      </c>
      <c r="I6" s="3">
        <v>7741</v>
      </c>
      <c r="J6" s="3"/>
      <c r="K6" s="3"/>
      <c r="L6" s="3"/>
      <c r="M6" s="3"/>
      <c r="N6" s="1"/>
    </row>
    <row r="7" spans="1:14" ht="12.75" customHeight="1" x14ac:dyDescent="0.2">
      <c r="A7" s="2" t="s">
        <v>17</v>
      </c>
      <c r="B7" s="3"/>
      <c r="C7" s="3"/>
      <c r="D7" s="3"/>
      <c r="E7" s="3">
        <v>2369.96</v>
      </c>
      <c r="F7" s="3">
        <v>2385.3200000000002</v>
      </c>
      <c r="G7" s="3"/>
      <c r="H7" s="3">
        <v>2422.11</v>
      </c>
      <c r="I7" s="3">
        <v>2439</v>
      </c>
      <c r="J7" s="3"/>
      <c r="K7" s="3"/>
      <c r="L7" s="3"/>
      <c r="M7" s="3"/>
      <c r="N7" s="1"/>
    </row>
    <row r="8" spans="1:14" ht="12.75" customHeight="1" x14ac:dyDescent="0.2">
      <c r="B8" s="3"/>
      <c r="C8" s="3"/>
      <c r="D8" s="3"/>
      <c r="E8" s="3"/>
      <c r="F8" s="3"/>
      <c r="G8" s="3"/>
      <c r="H8" s="3"/>
      <c r="I8" s="1">
        <f t="shared" ref="I8:I12" si="0">I3-H3</f>
        <v>9.9999999999994316E-2</v>
      </c>
      <c r="J8" s="3"/>
      <c r="K8" s="3"/>
      <c r="L8" s="3"/>
      <c r="M8" s="3"/>
      <c r="N8" s="1"/>
    </row>
    <row r="9" spans="1:14" ht="12.75" customHeight="1" x14ac:dyDescent="0.2">
      <c r="B9" s="3"/>
      <c r="C9" s="3"/>
      <c r="D9" s="3"/>
      <c r="E9" s="3"/>
      <c r="F9" s="3"/>
      <c r="G9" s="3"/>
      <c r="H9" s="3"/>
      <c r="I9" s="1">
        <f t="shared" si="0"/>
        <v>0</v>
      </c>
      <c r="J9" s="3"/>
      <c r="K9" s="3"/>
      <c r="L9" s="3"/>
      <c r="M9" s="3"/>
      <c r="N9" s="1"/>
    </row>
    <row r="10" spans="1:14" ht="12.75" customHeight="1" x14ac:dyDescent="0.2">
      <c r="B10" s="1"/>
      <c r="C10" s="1"/>
      <c r="D10" s="1"/>
      <c r="E10" s="1"/>
      <c r="F10" s="1"/>
      <c r="G10" s="1"/>
      <c r="H10" s="1"/>
      <c r="I10" s="1">
        <f t="shared" si="0"/>
        <v>2.5600000000000023</v>
      </c>
      <c r="J10" s="1"/>
      <c r="K10" s="1"/>
      <c r="L10" s="1"/>
      <c r="M10" s="1"/>
      <c r="N10" s="1"/>
    </row>
    <row r="11" spans="1:14" ht="12.75" customHeight="1" x14ac:dyDescent="0.2">
      <c r="B11" s="1"/>
      <c r="C11" s="1"/>
      <c r="D11" s="1"/>
      <c r="E11" s="1"/>
      <c r="F11" s="1"/>
      <c r="G11" s="1"/>
      <c r="H11" s="1"/>
      <c r="I11" s="1">
        <f t="shared" si="0"/>
        <v>52.619999999999891</v>
      </c>
      <c r="J11" s="1"/>
      <c r="K11" s="1"/>
      <c r="L11" s="1"/>
      <c r="M11" s="1"/>
      <c r="N11" s="1"/>
    </row>
    <row r="12" spans="1:14" ht="12.75" customHeight="1" x14ac:dyDescent="0.2">
      <c r="B12" s="1"/>
      <c r="C12" s="1"/>
      <c r="D12" s="1"/>
      <c r="E12" s="1"/>
      <c r="F12" s="1"/>
      <c r="G12" s="1"/>
      <c r="H12" s="1"/>
      <c r="I12" s="1">
        <f t="shared" si="0"/>
        <v>16.889999999999873</v>
      </c>
      <c r="J12" s="1"/>
      <c r="K12" s="1"/>
      <c r="L12" s="1"/>
      <c r="M12" s="1"/>
      <c r="N12" s="1"/>
    </row>
    <row r="13" spans="1:14" ht="12.75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2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2.7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2.7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2.75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2.75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2.75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2.75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2.75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2.75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2.75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2.75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2.75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2.75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2.75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2.75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2.75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2.75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2.75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12.75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2.75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2.75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12.75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12.75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12.75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12.75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2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2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12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12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12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12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2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2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2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2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12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2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2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12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12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12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2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12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12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12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12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2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2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2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2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2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2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2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2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2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2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2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2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2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2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2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2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2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2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2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2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2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2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2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2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2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2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2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2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2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2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2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2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2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2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2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2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2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2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2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2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2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2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2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2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2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2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2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2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2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2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2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2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2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2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2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2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2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2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2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2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2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2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2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2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2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2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2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2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2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2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2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2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2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2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2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2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2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2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2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2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2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2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2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2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2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2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2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2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2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2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2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2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2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2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2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2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2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2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2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2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2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2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2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2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2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2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2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2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2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2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2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2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2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2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2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2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2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2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2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2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2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2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2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2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2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2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2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2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2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2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2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2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2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2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2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2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2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2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2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2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2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2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2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2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2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2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2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2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2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2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2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2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2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2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2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2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2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2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2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2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2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2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2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2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2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2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2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2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2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2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2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2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2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2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2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2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2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2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2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2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2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2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2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2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2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2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2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2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2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2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2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2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2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2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2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2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2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2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2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2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2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2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2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2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2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2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2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2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2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2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2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2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2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2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2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2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2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2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2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2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2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2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2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2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2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2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2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2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2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2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2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2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2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2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2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2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2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2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2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2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2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2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2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2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2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2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2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2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2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2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2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2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2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2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2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2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2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2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2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2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2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2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2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2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2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2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2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2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2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2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2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2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2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2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2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2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2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2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2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2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2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2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2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2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2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2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2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2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2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2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2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2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2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2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2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2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2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2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2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2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2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2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2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2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2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2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2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2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2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2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2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2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2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2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2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2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2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2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2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2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2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2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2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2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2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2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2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2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2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2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2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2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2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2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2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2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2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2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2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2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2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2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2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2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2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2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2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2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2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2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2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2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2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2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2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2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2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2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2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2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2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2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2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2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2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2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2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2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2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2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2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2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2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2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2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2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2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2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2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2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2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2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2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2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2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2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2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2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2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2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2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2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2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2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2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2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2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2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2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2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2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2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2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2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2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2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2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2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2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2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2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2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2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2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2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2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2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2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2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2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2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2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2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2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2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2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2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2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2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2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2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2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2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2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2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2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2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2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2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2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2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2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2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2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2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2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2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2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2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2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2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2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2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2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2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2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2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2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2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2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2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2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2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2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2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2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2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2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2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2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2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2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2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2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2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2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2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2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2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2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2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2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2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2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2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2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2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2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2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2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2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2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2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2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2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2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2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2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2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2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2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2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2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2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2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2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2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2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2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2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2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2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2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2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2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2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2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2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2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2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2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2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2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2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2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2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2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2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2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2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2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2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2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2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2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2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2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2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2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2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2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2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2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2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2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2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2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2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2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2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2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2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2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2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2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2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2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2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2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2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2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2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2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2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2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2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2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2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2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2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2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2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2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2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2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2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2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2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2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2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2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2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2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2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2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2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2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2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2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2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2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2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2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2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2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2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2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2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2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2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2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2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2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2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2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2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2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2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2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2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2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2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2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2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2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2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2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2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2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2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2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2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2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2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2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2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2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2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2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2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2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2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2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2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2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2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2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2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2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2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2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2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2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2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2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2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2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2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2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2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2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2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2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2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2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2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2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2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2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2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2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2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2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2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2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2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2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2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2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2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2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2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2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2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2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2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2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2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2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2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2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2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2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2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2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2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2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2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2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2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2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2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2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2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2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2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2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2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2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2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2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2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2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2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2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2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2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2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2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2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2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2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2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2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2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2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2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2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2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2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2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2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2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2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2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2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2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2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2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2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2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2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2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2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2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2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2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2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2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2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2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2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2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2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2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2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2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2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2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2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2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2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2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2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2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2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2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2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2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2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2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2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2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2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2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2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2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2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2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2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2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2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2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2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2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2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2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2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2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2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2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2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2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2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2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2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2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2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2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2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2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2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2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2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2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2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2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2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2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2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2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2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2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2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2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2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2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2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2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2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2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2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2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2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2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2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2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2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2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2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2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2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2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2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2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2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2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2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2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2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2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2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2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2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2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2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2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2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2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2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2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2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2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2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2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2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2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2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2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2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2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2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2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2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2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2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2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2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2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2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2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2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2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2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2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2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2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2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2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2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2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2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2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2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2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2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2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2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2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2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2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2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2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2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2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2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2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2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2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2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2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2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2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2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2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 ht="12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2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2:14" ht="12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"/>
  <cols>
    <col min="1" max="1" width="8.7109375" customWidth="1"/>
    <col min="2" max="3" width="9.140625" customWidth="1"/>
    <col min="4" max="4" width="10.42578125" customWidth="1"/>
    <col min="5" max="5" width="9.5703125" customWidth="1"/>
    <col min="6" max="13" width="9.140625" customWidth="1"/>
    <col min="14" max="25" width="8.7109375" customWidth="1"/>
  </cols>
  <sheetData>
    <row r="1" spans="1:14" ht="12.75" customHeight="1" x14ac:dyDescent="0.2">
      <c r="B1" s="1" t="s">
        <v>1</v>
      </c>
      <c r="C1" s="1" t="s">
        <v>2</v>
      </c>
      <c r="D1" s="1" t="s">
        <v>18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19</v>
      </c>
      <c r="M1" s="1" t="s">
        <v>12</v>
      </c>
      <c r="N1" s="1"/>
    </row>
    <row r="2" spans="1:14" ht="12.75" customHeight="1" x14ac:dyDescent="0.2">
      <c r="A2" s="2">
        <v>2024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spans="1:14" ht="12.75" customHeight="1" x14ac:dyDescent="0.2">
      <c r="A3" s="2" t="s">
        <v>13</v>
      </c>
      <c r="B3" s="3"/>
      <c r="C3" s="3"/>
      <c r="D3" s="3"/>
      <c r="E3" s="3"/>
      <c r="F3" s="1"/>
      <c r="G3" s="3"/>
      <c r="H3" s="3"/>
      <c r="I3" s="3"/>
      <c r="J3" s="3"/>
      <c r="K3" s="3"/>
      <c r="L3" s="3"/>
      <c r="M3" s="3"/>
      <c r="N3" s="1"/>
    </row>
    <row r="4" spans="1:14" ht="12.75" customHeight="1" x14ac:dyDescent="0.2">
      <c r="A4" s="2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</row>
    <row r="5" spans="1:14" ht="12.75" customHeight="1" x14ac:dyDescent="0.2">
      <c r="A5" s="2" t="s">
        <v>15</v>
      </c>
      <c r="B5" s="3"/>
      <c r="C5" s="3"/>
      <c r="D5" s="3"/>
      <c r="E5" s="3"/>
      <c r="F5" s="1"/>
      <c r="G5" s="3"/>
      <c r="H5" s="3"/>
      <c r="I5" s="3"/>
      <c r="J5" s="3"/>
      <c r="K5" s="3"/>
      <c r="L5" s="3"/>
      <c r="M5" s="3"/>
      <c r="N5" s="1"/>
    </row>
    <row r="6" spans="1:14" ht="12.75" customHeight="1" x14ac:dyDescent="0.2">
      <c r="A6" s="2" t="s">
        <v>16</v>
      </c>
      <c r="B6" s="3"/>
      <c r="C6" s="3"/>
      <c r="D6" s="3"/>
      <c r="E6" s="3">
        <v>6252.53</v>
      </c>
      <c r="F6" s="3">
        <v>6288.97</v>
      </c>
      <c r="G6" s="3"/>
      <c r="H6" s="3">
        <v>6376.31</v>
      </c>
      <c r="I6" s="3">
        <v>6431</v>
      </c>
      <c r="J6" s="3"/>
      <c r="K6" s="3"/>
      <c r="L6" s="3"/>
      <c r="M6" s="3"/>
      <c r="N6" s="1"/>
    </row>
    <row r="7" spans="1:14" ht="12.75" customHeight="1" x14ac:dyDescent="0.2">
      <c r="A7" s="2" t="s">
        <v>17</v>
      </c>
      <c r="B7" s="3"/>
      <c r="C7" s="3"/>
      <c r="D7" s="3"/>
      <c r="E7" s="3">
        <v>1564.14</v>
      </c>
      <c r="F7" s="3">
        <v>1582.17</v>
      </c>
      <c r="G7" s="3"/>
      <c r="H7" s="3">
        <v>1618.43</v>
      </c>
      <c r="I7" s="3">
        <v>1640</v>
      </c>
      <c r="J7" s="3"/>
      <c r="K7" s="3"/>
      <c r="L7" s="3"/>
      <c r="M7" s="3"/>
      <c r="N7" s="1"/>
    </row>
    <row r="8" spans="1:14" ht="12.75" customHeight="1" x14ac:dyDescent="0.2">
      <c r="B8" s="3"/>
      <c r="C8" s="3"/>
      <c r="D8" s="3"/>
      <c r="E8" s="3"/>
      <c r="F8" s="3"/>
      <c r="G8" s="3"/>
      <c r="H8" s="3"/>
      <c r="I8" s="1">
        <f t="shared" ref="I8:I12" si="0">I3-H3</f>
        <v>0</v>
      </c>
      <c r="J8" s="3"/>
      <c r="K8" s="3"/>
      <c r="L8" s="3"/>
      <c r="M8" s="3"/>
      <c r="N8" s="1"/>
    </row>
    <row r="9" spans="1:14" ht="12.75" customHeight="1" x14ac:dyDescent="0.2">
      <c r="B9" s="3"/>
      <c r="C9" s="3"/>
      <c r="D9" s="3"/>
      <c r="E9" s="3"/>
      <c r="F9" s="3"/>
      <c r="G9" s="3"/>
      <c r="H9" s="3"/>
      <c r="I9" s="1">
        <f t="shared" si="0"/>
        <v>0</v>
      </c>
      <c r="J9" s="3"/>
      <c r="K9" s="3"/>
      <c r="L9" s="3"/>
      <c r="M9" s="3"/>
      <c r="N9" s="1"/>
    </row>
    <row r="10" spans="1:14" ht="12.75" customHeight="1" x14ac:dyDescent="0.2">
      <c r="B10" s="1"/>
      <c r="C10" s="1"/>
      <c r="D10" s="1"/>
      <c r="E10" s="1"/>
      <c r="F10" s="1"/>
      <c r="G10" s="1"/>
      <c r="H10" s="1"/>
      <c r="I10" s="1">
        <f t="shared" si="0"/>
        <v>0</v>
      </c>
      <c r="J10" s="1"/>
      <c r="K10" s="1"/>
      <c r="L10" s="1"/>
      <c r="M10" s="1"/>
      <c r="N10" s="1"/>
    </row>
    <row r="11" spans="1:14" ht="12.75" customHeight="1" x14ac:dyDescent="0.2">
      <c r="B11" s="1"/>
      <c r="C11" s="1"/>
      <c r="D11" s="1"/>
      <c r="E11" s="1"/>
      <c r="F11" s="1"/>
      <c r="G11" s="1"/>
      <c r="H11" s="1"/>
      <c r="I11" s="1">
        <f t="shared" si="0"/>
        <v>54.6899999999996</v>
      </c>
      <c r="J11" s="1"/>
      <c r="K11" s="1"/>
      <c r="L11" s="1"/>
      <c r="M11" s="1"/>
      <c r="N11" s="1"/>
    </row>
    <row r="12" spans="1:14" ht="12.75" customHeight="1" x14ac:dyDescent="0.2">
      <c r="B12" s="1"/>
      <c r="C12" s="1"/>
      <c r="D12" s="1"/>
      <c r="E12" s="1"/>
      <c r="F12" s="1"/>
      <c r="G12" s="1"/>
      <c r="H12" s="1"/>
      <c r="I12" s="1">
        <f t="shared" si="0"/>
        <v>21.569999999999936</v>
      </c>
      <c r="J12" s="1"/>
      <c r="K12" s="1"/>
      <c r="L12" s="1"/>
      <c r="M12" s="1"/>
      <c r="N12" s="1"/>
    </row>
    <row r="13" spans="1:14" ht="12.75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2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2.7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2.7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2.75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2.75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2.75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2.75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2.75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2.75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2.75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2.75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2.75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2.75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2.75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2.75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2.75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2.75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2.75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12.75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2.75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2.75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12.75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12.75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12.75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12.75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2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2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12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12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12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12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2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2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2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2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12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2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2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12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12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12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2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12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12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12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12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2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2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2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2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2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2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2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2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2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2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2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2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2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2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2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2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2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2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2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2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2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2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2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2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2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2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2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2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2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2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2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2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2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2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2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2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2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2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2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2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2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2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2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2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2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2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2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2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2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2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2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2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2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2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2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2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2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2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2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2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2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2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2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2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2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2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2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2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2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2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2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2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2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2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2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2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2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2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2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2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2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2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2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2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2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2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2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2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2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2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2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2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2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2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2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2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2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2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2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2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2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2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2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2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2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2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2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2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2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2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2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2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2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2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2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2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2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2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2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2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2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2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2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2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2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2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2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2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2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2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2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2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2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2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2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2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2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2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2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2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2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2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2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2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2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2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2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2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2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2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2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2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2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2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2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2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2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2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2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2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2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2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2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2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2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2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2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2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2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2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2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2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2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2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2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2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2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2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2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2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2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2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2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2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2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2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2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2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2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2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2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2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2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2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2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2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2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2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2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2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2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2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2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2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2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2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2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2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2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2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2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2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2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2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2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2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2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2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2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2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2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2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2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2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2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2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2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2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2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2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2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2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2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2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2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2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2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2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2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2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2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2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2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2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2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2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2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2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2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2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2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2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2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2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2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2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2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2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2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2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2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2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2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2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2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2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2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2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2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2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2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2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2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2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2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2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2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2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2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2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2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2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2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2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2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2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2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2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2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2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2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2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2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2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2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2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2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2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2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2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2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2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2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2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2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2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2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2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2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2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2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2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2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2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2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2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2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2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2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2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2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2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2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2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2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2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2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2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2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2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2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2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2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2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2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2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2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2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2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2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2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2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2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2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2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2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2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2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2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2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2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2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2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2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2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2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2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2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2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2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2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2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2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2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2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2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2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2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2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2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2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2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2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2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2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2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2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2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2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2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2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2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2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2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2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2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2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2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2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2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2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2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2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2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2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2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2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2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2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2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2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2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2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2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2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2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2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2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2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2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2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2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2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2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2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2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2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2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2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2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2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2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2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2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2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2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2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2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2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2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2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2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2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2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2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2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2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2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2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2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2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2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2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2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2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2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2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2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2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2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2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2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2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2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2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2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2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2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2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2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2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2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2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2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2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2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2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2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2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2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2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2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2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2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2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2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2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2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2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2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2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2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2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2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2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2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2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2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2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2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2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2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2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2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2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2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2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2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2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2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2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2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2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2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2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2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2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2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2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2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2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2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2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2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2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2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2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2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2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2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2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2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2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2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2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2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2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2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2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2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2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2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2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2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2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2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2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2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2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2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2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2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2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2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2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2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2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2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2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2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2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2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2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2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2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2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2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2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2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2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2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2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2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2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2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2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2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2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2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2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2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2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2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2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2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2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2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2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2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2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2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2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2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2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2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2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2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2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2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2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2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2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2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2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2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2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2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2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2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2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2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2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2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2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2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2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2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2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2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2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2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2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2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2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2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2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2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2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2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2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2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2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2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2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2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2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2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2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2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2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2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2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2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2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2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2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2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2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2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2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2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2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2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2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2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2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2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2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2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2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2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2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2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2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2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2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2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2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2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2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2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2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2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2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2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2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2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2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2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2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2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2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2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2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2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2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2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2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2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2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2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2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2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2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2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2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2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2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2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2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2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2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2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2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2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2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2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2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2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2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2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2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2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2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2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2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2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2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2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2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2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2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2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2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2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2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2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2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2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2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2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2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2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2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2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2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2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2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2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2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2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2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2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2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2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2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2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2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2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2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2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2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2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2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2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2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2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2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2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2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2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2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2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2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2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2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2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2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2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2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2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2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2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2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2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2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2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2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2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2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2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2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2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2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2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2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2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2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2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2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2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2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2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2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2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2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2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2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2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2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2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2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2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2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2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2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2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2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2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2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2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2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2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2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2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2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2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2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2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2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2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2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2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2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2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2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2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2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2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2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2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2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2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2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2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2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2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2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2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2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2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2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2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2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2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2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2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2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2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2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2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2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2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2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2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2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2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2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2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2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2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2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2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2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2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2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2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2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2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2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2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2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2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2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2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2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2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2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2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2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2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2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2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2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2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2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2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2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2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2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2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2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2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2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2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2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2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2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2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2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2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2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2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2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2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 ht="12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2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2:14" ht="12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"/>
  <cols>
    <col min="1" max="1" width="8.7109375" customWidth="1"/>
    <col min="2" max="3" width="9.140625" customWidth="1"/>
    <col min="4" max="4" width="10.42578125" customWidth="1"/>
    <col min="5" max="5" width="10.5703125" customWidth="1"/>
    <col min="6" max="6" width="10.7109375" customWidth="1"/>
    <col min="7" max="13" width="9.140625" customWidth="1"/>
    <col min="14" max="25" width="8.7109375" customWidth="1"/>
  </cols>
  <sheetData>
    <row r="1" spans="1:14" ht="12.75" customHeight="1" x14ac:dyDescent="0.2">
      <c r="B1" s="1" t="s">
        <v>1</v>
      </c>
      <c r="C1" s="1" t="s">
        <v>2</v>
      </c>
      <c r="D1" s="1" t="s">
        <v>18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19</v>
      </c>
      <c r="M1" s="1" t="s">
        <v>12</v>
      </c>
      <c r="N1" s="1"/>
    </row>
    <row r="2" spans="1:14" ht="12.75" customHeight="1" x14ac:dyDescent="0.2">
      <c r="A2" s="2">
        <v>2024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spans="1:14" ht="12.75" customHeight="1" x14ac:dyDescent="0.2">
      <c r="A3" s="2" t="s">
        <v>13</v>
      </c>
      <c r="B3" s="3"/>
      <c r="C3" s="3"/>
      <c r="D3" s="3"/>
      <c r="E3" s="3"/>
      <c r="F3" s="1"/>
      <c r="G3" s="3"/>
      <c r="H3" s="3"/>
      <c r="I3" s="3"/>
      <c r="J3" s="3"/>
      <c r="K3" s="3"/>
      <c r="L3" s="3"/>
      <c r="M3" s="3"/>
      <c r="N3" s="1"/>
    </row>
    <row r="4" spans="1:14" ht="12.75" customHeight="1" x14ac:dyDescent="0.2">
      <c r="A4" s="2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</row>
    <row r="5" spans="1:14" ht="12.75" customHeight="1" x14ac:dyDescent="0.2">
      <c r="A5" s="2" t="s">
        <v>15</v>
      </c>
      <c r="B5" s="3"/>
      <c r="C5" s="3"/>
      <c r="D5" s="3"/>
      <c r="E5" s="3"/>
      <c r="F5" s="1"/>
      <c r="G5" s="3"/>
      <c r="H5" s="3"/>
      <c r="I5" s="3"/>
      <c r="J5" s="3"/>
      <c r="K5" s="3"/>
      <c r="L5" s="3"/>
      <c r="M5" s="3"/>
      <c r="N5" s="1"/>
    </row>
    <row r="6" spans="1:14" ht="12.75" customHeight="1" x14ac:dyDescent="0.2">
      <c r="A6" s="2" t="s">
        <v>16</v>
      </c>
      <c r="B6" s="3"/>
      <c r="C6" s="3"/>
      <c r="D6" s="3"/>
      <c r="E6" s="1">
        <v>11039.22</v>
      </c>
      <c r="F6" s="3">
        <v>11237.28</v>
      </c>
      <c r="G6" s="3"/>
      <c r="H6" s="3">
        <v>11534.43</v>
      </c>
      <c r="I6" s="3">
        <v>11688</v>
      </c>
      <c r="J6" s="3">
        <v>11861</v>
      </c>
      <c r="K6" s="3">
        <v>12045.7</v>
      </c>
      <c r="L6" s="3"/>
      <c r="M6" s="3"/>
      <c r="N6" s="1"/>
    </row>
    <row r="7" spans="1:14" ht="12.75" customHeight="1" x14ac:dyDescent="0.2">
      <c r="A7" s="2" t="s">
        <v>17</v>
      </c>
      <c r="B7" s="3"/>
      <c r="C7" s="3"/>
      <c r="D7" s="3"/>
      <c r="E7" s="3">
        <v>5510.53</v>
      </c>
      <c r="F7" s="3">
        <v>5609.68</v>
      </c>
      <c r="G7" s="3"/>
      <c r="H7" s="3">
        <v>5701.08</v>
      </c>
      <c r="I7" s="3">
        <v>5765</v>
      </c>
      <c r="J7" s="3">
        <v>5816</v>
      </c>
      <c r="K7" s="3">
        <v>5883.18</v>
      </c>
      <c r="L7" s="3"/>
      <c r="M7" s="3"/>
      <c r="N7" s="1"/>
    </row>
    <row r="8" spans="1:14" ht="12.75" customHeight="1" x14ac:dyDescent="0.2">
      <c r="B8" s="3"/>
      <c r="C8" s="3"/>
      <c r="D8" s="3"/>
      <c r="E8" s="3"/>
      <c r="F8" s="3"/>
      <c r="G8" s="3"/>
      <c r="H8" s="3"/>
      <c r="I8" s="1">
        <f t="shared" ref="I8:J8" si="0">I3-H3</f>
        <v>0</v>
      </c>
      <c r="J8" s="1">
        <f t="shared" si="0"/>
        <v>0</v>
      </c>
      <c r="K8" s="3"/>
      <c r="L8" s="3"/>
      <c r="M8" s="3"/>
      <c r="N8" s="1"/>
    </row>
    <row r="9" spans="1:14" ht="12.75" customHeight="1" x14ac:dyDescent="0.2">
      <c r="B9" s="3"/>
      <c r="C9" s="3"/>
      <c r="D9" s="3"/>
      <c r="E9" s="3"/>
      <c r="F9" s="3"/>
      <c r="G9" s="3"/>
      <c r="H9" s="3"/>
      <c r="I9" s="1">
        <f t="shared" ref="I9:J9" si="1">I4-H4</f>
        <v>0</v>
      </c>
      <c r="J9" s="1">
        <f t="shared" si="1"/>
        <v>0</v>
      </c>
      <c r="K9" s="3"/>
      <c r="L9" s="3"/>
      <c r="M9" s="3"/>
      <c r="N9" s="1"/>
    </row>
    <row r="10" spans="1:14" ht="12.75" customHeight="1" x14ac:dyDescent="0.2">
      <c r="B10" s="1"/>
      <c r="C10" s="1"/>
      <c r="D10" s="1"/>
      <c r="E10" s="1"/>
      <c r="F10" s="1"/>
      <c r="G10" s="1"/>
      <c r="H10" s="1"/>
      <c r="I10" s="1">
        <f t="shared" ref="I10:J10" si="2">I5-H5</f>
        <v>0</v>
      </c>
      <c r="J10" s="1">
        <f t="shared" si="2"/>
        <v>0</v>
      </c>
      <c r="K10" s="1"/>
      <c r="L10" s="1"/>
      <c r="M10" s="1"/>
      <c r="N10" s="1"/>
    </row>
    <row r="11" spans="1:14" ht="12.75" customHeight="1" x14ac:dyDescent="0.2">
      <c r="B11" s="1"/>
      <c r="C11" s="1"/>
      <c r="D11" s="1"/>
      <c r="E11" s="1"/>
      <c r="F11" s="1"/>
      <c r="G11" s="1"/>
      <c r="H11" s="1"/>
      <c r="I11" s="1">
        <f t="shared" ref="I11:J11" si="3">I6-H6</f>
        <v>153.56999999999971</v>
      </c>
      <c r="J11" s="1">
        <f t="shared" si="3"/>
        <v>173</v>
      </c>
      <c r="K11" s="1"/>
      <c r="L11" s="1"/>
      <c r="M11" s="1"/>
      <c r="N11" s="1"/>
    </row>
    <row r="12" spans="1:14" ht="12.75" customHeight="1" x14ac:dyDescent="0.2">
      <c r="B12" s="1"/>
      <c r="C12" s="1"/>
      <c r="D12" s="1"/>
      <c r="E12" s="1"/>
      <c r="F12" s="1"/>
      <c r="G12" s="1"/>
      <c r="H12" s="1"/>
      <c r="I12" s="1">
        <f t="shared" ref="I12:J12" si="4">I7-H7</f>
        <v>63.920000000000073</v>
      </c>
      <c r="J12" s="1">
        <f t="shared" si="4"/>
        <v>51</v>
      </c>
      <c r="K12" s="1"/>
      <c r="L12" s="1"/>
      <c r="M12" s="1"/>
      <c r="N12" s="1"/>
    </row>
    <row r="13" spans="1:14" ht="12.75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2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2.7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2.7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2.75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2.75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2.75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2.75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2.75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2.75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2.75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2.75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2.75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2.75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2.75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2.75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2.75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2.75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2.75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12.75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2.75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2.75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12.75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12.75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12.75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12.75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2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2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12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12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12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12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2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2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2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2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12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2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2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12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12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12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2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12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12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12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12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2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2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2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2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2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2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2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2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2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2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2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2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2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2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2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2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2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2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2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2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2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2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2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2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2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2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2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2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2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2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2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2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2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2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2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2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2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2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2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2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2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2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2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2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2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2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2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2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2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2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2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2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2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2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2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2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2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2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2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2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2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2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2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2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2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2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2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2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2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2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2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2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2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2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2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2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2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2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2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2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2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2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2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2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2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2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2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2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2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2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2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2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2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2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2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2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2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2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2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2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2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2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2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2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2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2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2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2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2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2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2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2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2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2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2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2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2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2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2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2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2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2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2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2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2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2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2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2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2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2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2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2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2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2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2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2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2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2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2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2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2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2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2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2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2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2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2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2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2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2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2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2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2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2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2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2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2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2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2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2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2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2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2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2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2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2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2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2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2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2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2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2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2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2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2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2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2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2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2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2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2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2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2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2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2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2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2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2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2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2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2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2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2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2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2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2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2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2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2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2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2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2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2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2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2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2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2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2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2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2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2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2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2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2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2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2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2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2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2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2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2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2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2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2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2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2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2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2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2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2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2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2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2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2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2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2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2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2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2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2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2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2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2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2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2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2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2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2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2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2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2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2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2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2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2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2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2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2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2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2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2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2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2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2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2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2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2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2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2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2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2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2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2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2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2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2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2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2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2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2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2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2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2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2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2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2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2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2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2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2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2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2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2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2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2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2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2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2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2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2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2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2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2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2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2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2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2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2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2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2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2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2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2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2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2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2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2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2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2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2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2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2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2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2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2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2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2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2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2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2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2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2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2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2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2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2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2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2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2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2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2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2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2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2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2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2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2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2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2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2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2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2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2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2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2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2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2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2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2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2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2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2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2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2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2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2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2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2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2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2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2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2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2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2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2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2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2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2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2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2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2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2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2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2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2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2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2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2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2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2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2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2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2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2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2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2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2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2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2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2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2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2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2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2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2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2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2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2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2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2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2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2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2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2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2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2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2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2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2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2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2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2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2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2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2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2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2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2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2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2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2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2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2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2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2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2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2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2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2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2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2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2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2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2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2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2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2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2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2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2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2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2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2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2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2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2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2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2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2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2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2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2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2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2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2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2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2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2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2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2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2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2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2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2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2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2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2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2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2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2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2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2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2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2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2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2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2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2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2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2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2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2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2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2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2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2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2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2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2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2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2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2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2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2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2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2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2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2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2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2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2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2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2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2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2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2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2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2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2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2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2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2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2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2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2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2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2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2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2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2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2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2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2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2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2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2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2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2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2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2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2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2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2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2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2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2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2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2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2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2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2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2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2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2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2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2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2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2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2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2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2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2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2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2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2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2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2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2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2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2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2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2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2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2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2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2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2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2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2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2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2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2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2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2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2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2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2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2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2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2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2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2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2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2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2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2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2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2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2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2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2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2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2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2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2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2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2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2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2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2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2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2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2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2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2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2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2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2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2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2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2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2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2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2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2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2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2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2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2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2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2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2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2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2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2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2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2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2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2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2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2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2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2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2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2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2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2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2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2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2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2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2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2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2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2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2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2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2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2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2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2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2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2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2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2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2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2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2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2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2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2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2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2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2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2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2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2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2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2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2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2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2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2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2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2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2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2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2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2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2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2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2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2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2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2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2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2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2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2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2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2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2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2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2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2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2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2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2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2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2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2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2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2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2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2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2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2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2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2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2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2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2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2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2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2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2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2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2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2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2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2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2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2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2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2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2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2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2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2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2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2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2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2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2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2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2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2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2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2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2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2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2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2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2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2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2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2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2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2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2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2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2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2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2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2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2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2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2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2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2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2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2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2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2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2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2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2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2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2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2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2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2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2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2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2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2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2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2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2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2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2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2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2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2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2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2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2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2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2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2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2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2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2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2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2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2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2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2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2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2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2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2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2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2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2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2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2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2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2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2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2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2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2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2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2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2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2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2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2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2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2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2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2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2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2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2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2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2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2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2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2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2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2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2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2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2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2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2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2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2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2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2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2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2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2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2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2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2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2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2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2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2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2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2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2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2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2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2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2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2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2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2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2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2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2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2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2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2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2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2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2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2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2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2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2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2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2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2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2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2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2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2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2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2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2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 ht="12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2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2:14" ht="12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99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 x14ac:dyDescent="0.2"/>
  <cols>
    <col min="1" max="1" width="8.7109375" customWidth="1"/>
    <col min="2" max="3" width="9.140625" customWidth="1"/>
    <col min="4" max="4" width="10.42578125" customWidth="1"/>
    <col min="5" max="5" width="9.5703125" customWidth="1"/>
    <col min="6" max="13" width="9.140625" customWidth="1"/>
    <col min="14" max="25" width="8.7109375" customWidth="1"/>
  </cols>
  <sheetData>
    <row r="1" spans="1:14" ht="12.75" customHeight="1" x14ac:dyDescent="0.2">
      <c r="B1" s="1" t="s">
        <v>1</v>
      </c>
      <c r="C1" s="1" t="s">
        <v>2</v>
      </c>
      <c r="D1" s="1" t="s">
        <v>18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19</v>
      </c>
      <c r="M1" s="1" t="s">
        <v>12</v>
      </c>
      <c r="N1" s="1"/>
    </row>
    <row r="2" spans="1:14" ht="12.75" customHeight="1" x14ac:dyDescent="0.2">
      <c r="A2" s="2">
        <v>2024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</row>
    <row r="3" spans="1:14" ht="12.75" customHeight="1" x14ac:dyDescent="0.2">
      <c r="A3" s="2" t="s">
        <v>13</v>
      </c>
      <c r="B3" s="3"/>
      <c r="C3" s="3"/>
      <c r="D3" s="3"/>
      <c r="E3" s="3"/>
      <c r="F3" s="1"/>
      <c r="G3" s="3"/>
      <c r="H3" s="3"/>
      <c r="I3" s="3"/>
      <c r="J3" s="3"/>
      <c r="K3" s="3"/>
      <c r="L3" s="3"/>
      <c r="M3" s="3"/>
      <c r="N3" s="1"/>
    </row>
    <row r="4" spans="1:14" ht="12.75" customHeight="1" x14ac:dyDescent="0.2">
      <c r="A4" s="2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</row>
    <row r="5" spans="1:14" ht="12.75" customHeight="1" x14ac:dyDescent="0.2">
      <c r="A5" s="2" t="s">
        <v>15</v>
      </c>
      <c r="B5" s="3"/>
      <c r="C5" s="3"/>
      <c r="D5" s="3"/>
      <c r="E5" s="3"/>
      <c r="F5" s="1"/>
      <c r="G5" s="3"/>
      <c r="H5" s="3"/>
      <c r="I5" s="3"/>
      <c r="J5" s="3"/>
      <c r="K5" s="3"/>
      <c r="L5" s="3"/>
      <c r="M5" s="3"/>
      <c r="N5" s="1"/>
    </row>
    <row r="6" spans="1:14" ht="12.75" customHeight="1" x14ac:dyDescent="0.2">
      <c r="A6" s="2" t="s">
        <v>16</v>
      </c>
      <c r="B6" s="3"/>
      <c r="C6" s="3"/>
      <c r="D6" s="3"/>
      <c r="E6" s="3">
        <v>8880.84</v>
      </c>
      <c r="F6" s="3">
        <v>9009.2000000000007</v>
      </c>
      <c r="G6" s="3"/>
      <c r="H6" s="3">
        <v>9294.85</v>
      </c>
      <c r="I6" s="3">
        <v>9415</v>
      </c>
      <c r="J6" s="3">
        <v>9529</v>
      </c>
      <c r="K6" s="3">
        <v>9655.25</v>
      </c>
      <c r="L6" s="3"/>
      <c r="M6" s="3"/>
      <c r="N6" s="1"/>
    </row>
    <row r="7" spans="1:14" ht="12.75" customHeight="1" x14ac:dyDescent="0.2">
      <c r="A7" s="2" t="s">
        <v>17</v>
      </c>
      <c r="B7" s="3"/>
      <c r="C7" s="3"/>
      <c r="D7" s="3"/>
      <c r="E7" s="1">
        <v>3535.62</v>
      </c>
      <c r="F7" s="3">
        <v>3584.65</v>
      </c>
      <c r="G7" s="3"/>
      <c r="H7" s="3">
        <v>3688.18</v>
      </c>
      <c r="I7" s="3">
        <v>3740</v>
      </c>
      <c r="J7" s="3">
        <v>3785</v>
      </c>
      <c r="K7" s="3">
        <v>23737.38</v>
      </c>
      <c r="L7" s="3"/>
      <c r="M7" s="3"/>
      <c r="N7" s="1"/>
    </row>
    <row r="8" spans="1:14" ht="12.75" customHeight="1" x14ac:dyDescent="0.2">
      <c r="B8" s="3"/>
      <c r="C8" s="3"/>
      <c r="D8" s="3"/>
      <c r="E8" s="3"/>
      <c r="F8" s="3"/>
      <c r="G8" s="3"/>
      <c r="H8" s="3"/>
      <c r="I8" s="3">
        <f t="shared" ref="I8:J8" si="0">I3-H3</f>
        <v>0</v>
      </c>
      <c r="J8" s="3">
        <f t="shared" si="0"/>
        <v>0</v>
      </c>
      <c r="K8" s="3"/>
      <c r="L8" s="3"/>
      <c r="M8" s="3"/>
      <c r="N8" s="1"/>
    </row>
    <row r="9" spans="1:14" ht="12.75" customHeight="1" x14ac:dyDescent="0.2">
      <c r="B9" s="1"/>
      <c r="C9" s="1"/>
      <c r="D9" s="1"/>
      <c r="E9" s="1"/>
      <c r="F9" s="1"/>
      <c r="G9" s="1"/>
      <c r="H9" s="1"/>
      <c r="I9" s="1">
        <f t="shared" ref="I9:J9" si="1">I4-H4</f>
        <v>0</v>
      </c>
      <c r="J9" s="1">
        <f t="shared" si="1"/>
        <v>0</v>
      </c>
      <c r="K9" s="1"/>
      <c r="L9" s="1"/>
      <c r="M9" s="1"/>
      <c r="N9" s="1"/>
    </row>
    <row r="10" spans="1:14" ht="12.75" customHeight="1" x14ac:dyDescent="0.2">
      <c r="B10" s="1"/>
      <c r="C10" s="1"/>
      <c r="D10" s="1"/>
      <c r="E10" s="1"/>
      <c r="F10" s="1"/>
      <c r="G10" s="1"/>
      <c r="H10" s="1"/>
      <c r="I10" s="1">
        <f t="shared" ref="I10:J10" si="2">I5-H5</f>
        <v>0</v>
      </c>
      <c r="J10" s="1">
        <f t="shared" si="2"/>
        <v>0</v>
      </c>
      <c r="K10" s="1"/>
      <c r="L10" s="1"/>
      <c r="M10" s="1"/>
      <c r="N10" s="1"/>
    </row>
    <row r="11" spans="1:14" ht="12.75" customHeight="1" x14ac:dyDescent="0.2">
      <c r="B11" s="1"/>
      <c r="C11" s="1"/>
      <c r="D11" s="1"/>
      <c r="E11" s="1"/>
      <c r="F11" s="1"/>
      <c r="G11" s="1"/>
      <c r="H11" s="1"/>
      <c r="I11" s="1">
        <f t="shared" ref="I11:J11" si="3">I6-H6</f>
        <v>120.14999999999964</v>
      </c>
      <c r="J11" s="1">
        <f t="shared" si="3"/>
        <v>114</v>
      </c>
      <c r="K11" s="1"/>
      <c r="L11" s="1"/>
      <c r="M11" s="1"/>
      <c r="N11" s="1"/>
    </row>
    <row r="12" spans="1:14" ht="12.75" customHeight="1" x14ac:dyDescent="0.2">
      <c r="B12" s="1"/>
      <c r="C12" s="1"/>
      <c r="D12" s="1"/>
      <c r="E12" s="1"/>
      <c r="F12" s="1"/>
      <c r="G12" s="1"/>
      <c r="H12" s="1"/>
      <c r="I12" s="1">
        <f t="shared" ref="I12:J12" si="4">I7-H7</f>
        <v>51.820000000000164</v>
      </c>
      <c r="J12" s="1">
        <f t="shared" si="4"/>
        <v>45</v>
      </c>
      <c r="K12" s="1"/>
      <c r="L12" s="1"/>
      <c r="M12" s="1"/>
      <c r="N12" s="1"/>
    </row>
    <row r="13" spans="1:14" ht="12.75" customHeight="1" x14ac:dyDescent="0.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2.75" customHeight="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2.75" customHeight="1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75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2.75" customHeight="1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2.75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2.75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2.75" customHeight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2.75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2.75" customHeight="1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2.75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2.75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2.75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2.75" customHeight="1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2.75" customHeight="1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2.75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2.75" customHeight="1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2.75" customHeight="1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2.75" customHeight="1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2.75" customHeight="1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 customHeight="1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 customHeight="1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 customHeight="1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12.75" customHeight="1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2.75" customHeight="1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12.75" customHeight="1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12.75" customHeight="1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12.75" customHeight="1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12.75" customHeight="1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12.75" customHeight="1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2.75" customHeight="1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2.75" customHeight="1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4" ht="12.75" customHeight="1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2:14" ht="12.75" customHeight="1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2:14" ht="12.75" customHeight="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ht="12.75" customHeight="1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ht="12.75" customHeight="1" x14ac:dyDescent="0.2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2:14" ht="12.75" customHeight="1" x14ac:dyDescent="0.2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2:14" ht="12.75" customHeight="1" x14ac:dyDescent="0.2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2:14" ht="12.75" customHeight="1" x14ac:dyDescent="0.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2:14" ht="12.75" customHeight="1" x14ac:dyDescent="0.2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2:14" ht="12.75" customHeight="1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2:14" ht="12.75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2:14" ht="12.75" customHeight="1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2:14" ht="12.75" customHeight="1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2:14" ht="12.75" customHeight="1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2:14" ht="12.75" customHeight="1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4" ht="12.75" customHeight="1" x14ac:dyDescent="0.2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2:14" ht="12.75" customHeight="1" x14ac:dyDescent="0.2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ht="12.75" customHeight="1" x14ac:dyDescent="0.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2:14" ht="12.75" customHeight="1" x14ac:dyDescent="0.2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2:14" ht="12.75" customHeight="1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2:14" ht="12.75" customHeight="1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2:14" ht="12.75" customHeight="1" x14ac:dyDescent="0.2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2:14" ht="12.75" customHeight="1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2:14" ht="12.75" customHeight="1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2:14" ht="12.75" customHeight="1" x14ac:dyDescent="0.2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2:14" ht="12.75" customHeight="1" x14ac:dyDescent="0.2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2:14" ht="12.75" customHeight="1" x14ac:dyDescent="0.2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2:14" ht="12.75" customHeight="1" x14ac:dyDescent="0.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2:14" ht="12.75" customHeight="1" x14ac:dyDescent="0.2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2:14" ht="12.75" customHeight="1" x14ac:dyDescent="0.2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2.75" customHeight="1" x14ac:dyDescent="0.2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2.75" customHeight="1" x14ac:dyDescent="0.2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2:14" ht="12.75" customHeight="1" x14ac:dyDescent="0.2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2:14" ht="12.75" customHeight="1" x14ac:dyDescent="0.2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2:14" ht="12.75" customHeight="1" x14ac:dyDescent="0.2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2:14" ht="12.75" customHeight="1" x14ac:dyDescent="0.2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2:14" ht="12.75" customHeight="1" x14ac:dyDescent="0.2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2:14" ht="12.75" customHeight="1" x14ac:dyDescent="0.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2:14" ht="12.75" customHeight="1" x14ac:dyDescent="0.2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2:14" ht="12.75" customHeight="1" x14ac:dyDescent="0.2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2:14" ht="12.75" customHeight="1" x14ac:dyDescent="0.2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2:14" ht="12.75" customHeight="1" x14ac:dyDescent="0.2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2:14" ht="12.75" customHeight="1" x14ac:dyDescent="0.2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ht="12.75" customHeight="1" x14ac:dyDescent="0.2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2:14" ht="12.75" customHeight="1" x14ac:dyDescent="0.2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2:14" ht="12.75" customHeight="1" x14ac:dyDescent="0.2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2:14" ht="12.75" customHeight="1" x14ac:dyDescent="0.2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2:14" ht="12.75" customHeight="1" x14ac:dyDescent="0.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2:14" ht="12.75" customHeight="1" x14ac:dyDescent="0.2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2.75" customHeight="1" x14ac:dyDescent="0.2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2:14" ht="12.75" customHeight="1" x14ac:dyDescent="0.2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2:14" ht="12.75" customHeight="1" x14ac:dyDescent="0.2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2:14" ht="12.75" customHeight="1" x14ac:dyDescent="0.2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2:14" ht="12.75" customHeight="1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2:14" ht="12.75" customHeight="1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2:14" ht="12.75" customHeight="1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2:14" ht="12.75" customHeight="1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2:14" ht="12.75" customHeight="1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2:14" ht="12.75" customHeight="1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2:14" ht="12.75" customHeight="1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2:14" ht="12.75" customHeight="1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2:14" ht="12.75" customHeight="1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2.75" customHeight="1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2.75" customHeight="1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2:14" ht="12.75" customHeight="1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2:14" ht="12.75" customHeight="1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2:14" ht="12.75" customHeight="1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2:14" ht="12.75" customHeight="1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2:14" ht="12.75" customHeight="1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2:14" ht="12.75" customHeight="1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2:14" ht="12.75" customHeight="1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2:14" ht="12.75" customHeight="1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2.75" customHeight="1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2:14" ht="12.75" customHeight="1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2:14" ht="12.75" customHeight="1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2:14" ht="12.75" customHeight="1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2:14" ht="12.75" customHeight="1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2:14" ht="12.75" customHeight="1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2:14" ht="12.75" customHeight="1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2:14" ht="12.75" customHeight="1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2:14" ht="12.75" customHeight="1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2:14" ht="12.75" customHeight="1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2:14" ht="12.75" customHeight="1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2:14" ht="12.75" customHeight="1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2:14" ht="12.75" customHeight="1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2:14" ht="12.75" customHeight="1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2:14" ht="12.75" customHeight="1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2:14" ht="12.75" customHeight="1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2:14" ht="12.75" customHeight="1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2:14" ht="12.75" customHeight="1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2:14" ht="12.75" customHeight="1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2:14" ht="12.75" customHeight="1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2:14" ht="12.75" customHeight="1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2:14" ht="12.75" customHeight="1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2.75" customHeight="1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2:14" ht="12.75" customHeight="1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ht="12.75" customHeight="1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2:14" ht="12.75" customHeight="1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2:14" ht="12.75" customHeight="1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2:14" ht="12.75" customHeight="1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2:14" ht="12.75" customHeight="1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2:14" ht="12.75" customHeight="1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2:14" ht="12.75" customHeight="1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2:14" ht="12.75" customHeight="1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2:14" ht="12.75" customHeight="1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2:14" ht="12.75" customHeight="1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2:14" ht="12.75" customHeight="1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2:14" ht="12.75" customHeight="1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2:14" ht="12.75" customHeight="1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2:14" ht="12.75" customHeight="1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2:14" ht="12.75" customHeight="1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2:14" ht="12.75" customHeight="1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2:14" ht="12.75" customHeight="1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2:14" ht="12.75" customHeight="1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2:14" ht="12.75" customHeight="1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2:14" ht="12.75" customHeight="1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2:14" ht="12.75" customHeight="1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2:14" ht="12.75" customHeight="1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2:14" ht="12.75" customHeight="1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2:14" ht="12.75" customHeight="1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2:14" ht="12.75" customHeight="1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2:14" ht="12.75" customHeight="1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2:14" ht="12.75" customHeight="1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2:14" ht="12.75" customHeight="1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2:14" ht="12.75" customHeight="1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2:14" ht="12.75" customHeight="1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2.75" customHeight="1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2:14" ht="12.75" customHeight="1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2:14" ht="12.75" customHeight="1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2:14" ht="12.75" customHeight="1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2:14" ht="12.75" customHeight="1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2:14" ht="12.75" customHeight="1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2:14" ht="12.75" customHeight="1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2:14" ht="12.75" customHeight="1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2:14" ht="12.75" customHeight="1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2:14" ht="12.75" customHeight="1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2:14" ht="12.75" customHeight="1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2:14" ht="12.75" customHeight="1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2:14" ht="12.75" customHeight="1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2:14" ht="12.75" customHeight="1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2:14" ht="12.75" customHeight="1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2:14" ht="12.75" customHeight="1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2:14" ht="12.75" customHeight="1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2:14" ht="12.75" customHeight="1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2:14" ht="12.75" customHeight="1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2:14" ht="12.75" customHeight="1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2:14" ht="12.75" customHeight="1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2:14" ht="12.75" customHeight="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2:14" ht="12.75" customHeight="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ht="12.75" customHeight="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ht="12.75" customHeight="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ht="12.75" customHeight="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2:14" ht="12.75" customHeight="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2:14" ht="12.75" customHeight="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2:14" ht="12.75" customHeight="1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2:14" ht="12.75" customHeight="1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2:14" ht="12.75" customHeight="1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2:14" ht="12.75" customHeight="1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2.75" customHeight="1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2:14" ht="12.75" customHeight="1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2:14" ht="12.75" customHeight="1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2:14" ht="12.75" customHeight="1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2:14" ht="12.75" customHeight="1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2:14" ht="12.75" customHeight="1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2:14" ht="12.75" customHeight="1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2:14" ht="12.75" customHeight="1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2:14" ht="12.75" customHeight="1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2:14" ht="12.75" customHeight="1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2:14" ht="12.75" customHeight="1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2:14" ht="12.75" customHeight="1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2:14" ht="12.75" customHeight="1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2:14" ht="12.75" customHeight="1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2:14" ht="12.75" customHeight="1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2:14" ht="12.75" customHeight="1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2:14" ht="12.75" customHeight="1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2:14" ht="12.75" customHeight="1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2:14" ht="12.75" customHeight="1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2:14" ht="12.75" customHeight="1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2:14" ht="12.75" customHeight="1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2:14" ht="12.75" customHeight="1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2:14" ht="12.75" customHeigh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2:14" ht="12.75" customHeigh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2:14" ht="12.75" customHeigh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2:14" ht="12.75" customHeigh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2:14" ht="12.75" customHeigh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2:14" ht="12.75" customHeigh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2:14" ht="12.75" customHeigh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2:14" ht="12.75" customHeigh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2:14" ht="12.75" customHeigh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2:14" ht="12.75" customHeigh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2.75" customHeigh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2:14" ht="12.75" customHeigh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2:14" ht="12.75" customHeigh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2:14" ht="12.75" customHeigh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2:14" ht="12.75" customHeigh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2:14" ht="12.75" customHeigh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2:14" ht="12.75" customHeigh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2:14" ht="12.75" customHeigh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2:14" ht="12.75" customHeigh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2:14" ht="12.75" customHeigh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2:14" ht="12.75" customHeigh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2:14" ht="12.75" customHeigh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2:14" ht="12.75" customHeigh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2:14" ht="12.75" customHeigh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2:14" ht="12.75" customHeigh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2:14" ht="12.75" customHeigh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2:14" ht="12.75" customHeigh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2:14" ht="12.75" customHeigh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2:14" ht="12.75" customHeigh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2:14" ht="12.75" customHeigh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2:14" ht="12.75" customHeigh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2:14" ht="12.75" customHeight="1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2:14" ht="12.75" customHeight="1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2:14" ht="12.75" customHeight="1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2:14" ht="12.75" customHeight="1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2:14" ht="12.75" customHeight="1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2:14" ht="12.75" customHeight="1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2:14" ht="12.75" customHeight="1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2:14" ht="12.75" customHeight="1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2:14" ht="12.75" customHeight="1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2:14" ht="12.75" customHeight="1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2:14" ht="12.75" customHeight="1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2.75" customHeight="1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2:14" ht="12.75" customHeight="1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2:14" ht="12.75" customHeight="1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2:14" ht="12.75" customHeight="1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2:14" ht="12.75" customHeight="1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2:14" ht="12.75" customHeight="1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2:14" ht="12.75" customHeight="1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2:14" ht="12.75" customHeight="1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2:14" ht="12.75" customHeight="1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2:14" ht="12.75" customHeight="1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2:14" ht="12.75" customHeight="1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2:14" ht="12.75" customHeight="1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2:14" ht="12.75" customHeight="1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2:14" ht="12.75" customHeight="1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2:14" ht="12.75" customHeight="1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2:14" ht="12.75" customHeight="1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2:14" ht="12.75" customHeight="1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2:14" ht="12.75" customHeight="1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2:14" ht="12.75" customHeight="1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2:14" ht="12.75" customHeight="1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2:14" ht="12.75" customHeight="1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2:14" ht="12.75" customHeight="1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2:14" ht="12.75" customHeight="1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2:14" ht="12.75" customHeight="1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2:14" ht="12.75" customHeight="1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2:14" ht="12.75" customHeight="1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2:14" ht="12.75" customHeight="1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2:14" ht="12.75" customHeight="1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2:14" ht="12.75" customHeight="1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2:14" ht="12.75" customHeight="1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2:14" ht="12.75" customHeight="1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2:14" ht="12.75" customHeight="1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2.75" customHeight="1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2:14" ht="12.75" customHeight="1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2:14" ht="12.75" customHeight="1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2:14" ht="12.75" customHeight="1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2:14" ht="12.75" customHeight="1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2:14" ht="12.75" customHeight="1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2:14" ht="12.75" customHeight="1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2:14" ht="12.75" customHeight="1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2:14" ht="12.75" customHeight="1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2:14" ht="12.75" customHeight="1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2:14" ht="12.75" customHeight="1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2:14" ht="12.75" customHeight="1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2:14" ht="12.75" customHeight="1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2:14" ht="12.75" customHeight="1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2:14" ht="12.75" customHeight="1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2:14" ht="12.75" customHeight="1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2:14" ht="12.75" customHeight="1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2:14" ht="12.75" customHeight="1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2:14" ht="12.75" customHeight="1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2:14" ht="12.75" customHeight="1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2:14" ht="12.75" customHeight="1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2:14" ht="12.75" customHeight="1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2:14" ht="12.75" customHeight="1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2:14" ht="12.75" customHeight="1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2:14" ht="12.75" customHeight="1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2:14" ht="12.75" customHeight="1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2:14" ht="12.75" customHeight="1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2:14" ht="12.75" customHeight="1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2:14" ht="12.75" customHeight="1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2:14" ht="12.75" customHeight="1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2:14" ht="12.75" customHeight="1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2:14" ht="12.75" customHeight="1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2.75" customHeight="1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2:14" ht="12.75" customHeight="1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2:14" ht="12.75" customHeight="1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2:14" ht="12.75" customHeight="1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2:14" ht="12.75" customHeight="1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2:14" ht="12.75" customHeight="1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2:14" ht="12.75" customHeight="1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2:14" ht="12.75" customHeight="1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2:14" ht="12.75" customHeight="1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2:14" ht="12.75" customHeight="1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2:14" ht="12.75" customHeight="1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2:14" ht="12.75" customHeight="1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2:14" ht="12.75" customHeight="1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2:14" ht="12.75" customHeight="1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2:14" ht="12.75" customHeight="1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2:14" ht="12.75" customHeight="1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2:14" ht="12.75" customHeight="1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2:14" ht="12.75" customHeight="1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2:14" ht="12.75" customHeight="1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2:14" ht="12.75" customHeight="1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2:14" ht="12.75" customHeight="1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2:14" ht="12.75" customHeight="1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2:14" ht="12.75" customHeight="1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2:14" ht="12.75" customHeight="1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2:14" ht="12.75" customHeight="1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2:14" ht="12.75" customHeight="1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2:14" ht="12.75" customHeight="1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2:14" ht="12.75" customHeight="1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2:14" ht="12.75" customHeight="1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2:14" ht="12.75" customHeight="1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2:14" ht="12.75" customHeight="1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2:14" ht="12.75" customHeight="1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2.75" customHeight="1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2:14" ht="12.75" customHeight="1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2:14" ht="12.75" customHeight="1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2:14" ht="12.75" customHeight="1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2:14" ht="12.75" customHeight="1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2:14" ht="12.75" customHeight="1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2:14" ht="12.75" customHeight="1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2:14" ht="12.75" customHeight="1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2:14" ht="12.75" customHeight="1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2:14" ht="12.75" customHeight="1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2:14" ht="12.75" customHeight="1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2:14" ht="12.75" customHeight="1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2:14" ht="12.75" customHeight="1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2:14" ht="12.75" customHeight="1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2:14" ht="12.75" customHeight="1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2:14" ht="12.75" customHeight="1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2:14" ht="12.75" customHeight="1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2:14" ht="12.75" customHeight="1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2:14" ht="12.75" customHeight="1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2:14" ht="12.75" customHeight="1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2:14" ht="12.75" customHeight="1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2:14" ht="12.75" customHeight="1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2:14" ht="12.75" customHeight="1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2:14" ht="12.75" customHeight="1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2:14" ht="12.75" customHeight="1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2:14" ht="12.75" customHeight="1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2:14" ht="12.75" customHeight="1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2:14" ht="12.75" customHeight="1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2:14" ht="12.75" customHeight="1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2:14" ht="12.75" customHeight="1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2:14" ht="12.75" customHeight="1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2:14" ht="12.75" customHeight="1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2.75" customHeight="1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2:14" ht="12.75" customHeight="1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2:14" ht="12.75" customHeight="1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2:14" ht="12.75" customHeight="1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2:14" ht="12.75" customHeight="1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2:14" ht="12.75" customHeight="1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2:14" ht="12.75" customHeight="1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2:14" ht="12.75" customHeight="1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2:14" ht="12.75" customHeight="1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2:14" ht="12.75" customHeight="1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2:14" ht="12.75" customHeight="1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2:14" ht="12.75" customHeight="1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2:14" ht="12.75" customHeight="1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2:14" ht="12.75" customHeight="1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2:14" ht="12.75" customHeight="1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2:14" ht="12.75" customHeight="1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2:14" ht="12.75" customHeight="1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2:14" ht="12.75" customHeight="1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2:14" ht="12.75" customHeight="1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2:14" ht="12.75" customHeight="1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2:14" ht="12.75" customHeight="1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2:14" ht="12.75" customHeight="1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2:14" ht="12.75" customHeight="1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2:14" ht="12.75" customHeight="1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2:14" ht="12.75" customHeight="1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2:14" ht="12.75" customHeight="1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2:14" ht="12.75" customHeight="1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2:14" ht="12.75" customHeight="1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2:14" ht="12.75" customHeight="1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2:14" ht="12.75" customHeight="1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2:14" ht="12.75" customHeight="1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2:14" ht="12.75" customHeight="1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2.75" customHeight="1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2:14" ht="12.75" customHeight="1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2:14" ht="12.75" customHeight="1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2:14" ht="12.75" customHeight="1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2:14" ht="12.75" customHeight="1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2:14" ht="12.75" customHeight="1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2:14" ht="12.75" customHeight="1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2:14" ht="12.75" customHeight="1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2:14" ht="12.75" customHeight="1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2:14" ht="12.75" customHeight="1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2:14" ht="12.75" customHeight="1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2:14" ht="12.75" customHeight="1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2:14" ht="12.75" customHeight="1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2:14" ht="12.75" customHeight="1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2:14" ht="12.75" customHeight="1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2:14" ht="12.75" customHeight="1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2:14" ht="12.75" customHeight="1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2:14" ht="12.75" customHeight="1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2:14" ht="12.75" customHeight="1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2:14" ht="12.75" customHeight="1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2:14" ht="12.75" customHeight="1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2:14" ht="12.75" customHeight="1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2:14" ht="12.75" customHeight="1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2:14" ht="12.75" customHeight="1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2:14" ht="12.75" customHeight="1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2:14" ht="12.75" customHeight="1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2:14" ht="12.75" customHeight="1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2:14" ht="12.75" customHeight="1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2:14" ht="12.75" customHeight="1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2:14" ht="12.75" customHeight="1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2:14" ht="12.75" customHeight="1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2:14" ht="12.75" customHeight="1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2.75" customHeight="1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2:14" ht="12.75" customHeight="1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2:14" ht="12.75" customHeight="1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2:14" ht="12.75" customHeight="1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2:14" ht="12.75" customHeight="1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2:14" ht="12.75" customHeight="1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2:14" ht="12.75" customHeight="1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2:14" ht="12.75" customHeight="1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2:14" ht="12.75" customHeight="1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2:14" ht="12.75" customHeight="1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2:14" ht="12.75" customHeight="1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2:14" ht="12.75" customHeight="1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2:14" ht="12.75" customHeight="1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2:14" ht="12.75" customHeight="1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2:14" ht="12.75" customHeight="1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2:14" ht="12.75" customHeight="1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2:14" ht="12.75" customHeight="1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2:14" ht="12.75" customHeight="1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2:14" ht="12.75" customHeight="1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2:14" ht="12.75" customHeight="1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2:14" ht="12.75" customHeight="1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2:14" ht="12.75" customHeight="1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2:14" ht="12.75" customHeight="1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2:14" ht="12.75" customHeight="1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2:14" ht="12.75" customHeight="1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2:14" ht="12.75" customHeight="1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2:14" ht="12.75" customHeight="1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2:14" ht="12.75" customHeight="1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2:14" ht="12.75" customHeight="1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2:14" ht="12.75" customHeight="1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2:14" ht="12.75" customHeight="1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2:14" ht="12.75" customHeight="1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2.75" customHeight="1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2:14" ht="12.75" customHeight="1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2:14" ht="12.75" customHeight="1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2:14" ht="12.75" customHeight="1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2:14" ht="12.75" customHeight="1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2:14" ht="12.75" customHeight="1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2:14" ht="12.75" customHeight="1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2:14" ht="12.75" customHeight="1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2:14" ht="12.75" customHeight="1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2:14" ht="12.75" customHeight="1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2:14" ht="12.75" customHeight="1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2:14" ht="12.75" customHeight="1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2:14" ht="12.75" customHeight="1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2:14" ht="12.75" customHeight="1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2:14" ht="12.75" customHeight="1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2:14" ht="12.75" customHeight="1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2:14" ht="12.75" customHeight="1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2:14" ht="12.75" customHeight="1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2:14" ht="12.75" customHeight="1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2:14" ht="12.75" customHeight="1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2:14" ht="12.75" customHeight="1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2:14" ht="12.75" customHeight="1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2:14" ht="12.75" customHeight="1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2:14" ht="12.75" customHeight="1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2:14" ht="12.75" customHeight="1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2:14" ht="12.75" customHeight="1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2:14" ht="12.75" customHeight="1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2:14" ht="12.75" customHeight="1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2:14" ht="12.75" customHeight="1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2:14" ht="12.75" customHeight="1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2:14" ht="12.75" customHeight="1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2:14" ht="12.75" customHeight="1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2.75" customHeight="1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2:14" ht="12.75" customHeight="1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2:14" ht="12.75" customHeight="1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2:14" ht="12.75" customHeight="1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2:14" ht="12.75" customHeight="1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2:14" ht="12.75" customHeight="1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2:14" ht="12.75" customHeight="1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2:14" ht="12.75" customHeight="1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2:14" ht="12.75" customHeight="1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2:14" ht="12.75" customHeight="1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2:14" ht="12.75" customHeight="1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2:14" ht="12.75" customHeight="1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2:14" ht="12.75" customHeight="1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2:14" ht="12.75" customHeight="1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2:14" ht="12.75" customHeight="1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2:14" ht="12.75" customHeight="1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2:14" ht="12.75" customHeight="1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2:14" ht="12.75" customHeight="1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2:14" ht="12.75" customHeight="1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2:14" ht="12.75" customHeight="1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2:14" ht="12.75" customHeight="1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2:14" ht="12.75" customHeight="1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2:14" ht="12.75" customHeight="1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2:14" ht="12.75" customHeight="1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2:14" ht="12.75" customHeight="1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2:14" ht="12.75" customHeight="1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2:14" ht="12.75" customHeight="1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2:14" ht="12.75" customHeight="1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2:14" ht="12.75" customHeight="1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2:14" ht="12.75" customHeight="1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2:14" ht="12.75" customHeight="1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2:14" ht="12.75" customHeight="1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2.75" customHeight="1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2:14" ht="12.75" customHeight="1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2:14" ht="12.75" customHeight="1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2:14" ht="12.75" customHeight="1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2:14" ht="12.75" customHeight="1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2:14" ht="12.75" customHeight="1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2:14" ht="12.75" customHeight="1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2:14" ht="12.75" customHeight="1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2:14" ht="12.75" customHeight="1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2:14" ht="12.75" customHeight="1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2:14" ht="12.75" customHeight="1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2:14" ht="12.75" customHeight="1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2:14" ht="12.75" customHeight="1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2:14" ht="12.75" customHeight="1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2:14" ht="12.75" customHeight="1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2:14" ht="12.75" customHeight="1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2:14" ht="12.75" customHeight="1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2:14" ht="12.75" customHeight="1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2:14" ht="12.75" customHeight="1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2:14" ht="12.75" customHeight="1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2:14" ht="12.75" customHeight="1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2:14" ht="12.75" customHeight="1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2:14" ht="12.75" customHeight="1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2:14" ht="12.75" customHeight="1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2:14" ht="12.75" customHeight="1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2:14" ht="12.75" customHeight="1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2:14" ht="12.75" customHeight="1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2:14" ht="12.75" customHeight="1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2:14" ht="12.75" customHeight="1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2:14" ht="12.75" customHeight="1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2:14" ht="12.75" customHeight="1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2:14" ht="12.75" customHeight="1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2.75" customHeight="1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2:14" ht="12.75" customHeight="1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2:14" ht="12.75" customHeight="1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2:14" ht="12.75" customHeight="1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2:14" ht="12.75" customHeight="1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2:14" ht="12.75" customHeight="1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2:14" ht="12.75" customHeight="1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2:14" ht="12.75" customHeight="1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2:14" ht="12.75" customHeight="1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2:14" ht="12.75" customHeight="1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2:14" ht="12.75" customHeight="1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2:14" ht="12.75" customHeight="1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2:14" ht="12.75" customHeight="1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2:14" ht="12.75" customHeight="1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2:14" ht="12.75" customHeight="1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2:14" ht="12.75" customHeight="1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2:14" ht="12.75" customHeight="1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2:14" ht="12.75" customHeight="1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2:14" ht="12.75" customHeight="1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2:14" ht="12.75" customHeight="1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2:14" ht="12.75" customHeight="1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2:14" ht="12.75" customHeight="1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2:14" ht="12.75" customHeight="1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2:14" ht="12.75" customHeight="1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2:14" ht="12.75" customHeight="1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2:14" ht="12.75" customHeight="1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2:14" ht="12.75" customHeight="1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2:14" ht="12.75" customHeight="1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2:14" ht="12.75" customHeight="1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2:14" ht="12.75" customHeight="1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2:14" ht="12.75" customHeight="1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2:14" ht="12.75" customHeight="1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2.75" customHeight="1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2:14" ht="12.75" customHeight="1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2:14" ht="12.75" customHeight="1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2:14" ht="12.75" customHeight="1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2:14" ht="12.75" customHeight="1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2:14" ht="12.75" customHeight="1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2:14" ht="12.75" customHeight="1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2:14" ht="12.75" customHeight="1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2:14" ht="12.75" customHeight="1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2:14" ht="12.75" customHeight="1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2:14" ht="12.75" customHeight="1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2:14" ht="12.75" customHeight="1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2:14" ht="12.75" customHeight="1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2:14" ht="12.75" customHeight="1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2:14" ht="12.75" customHeight="1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2:14" ht="12.75" customHeight="1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2:14" ht="12.75" customHeight="1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2:14" ht="12.75" customHeight="1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2:14" ht="12.75" customHeight="1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2:14" ht="12.75" customHeight="1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2:14" ht="12.75" customHeight="1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2:14" ht="12.75" customHeight="1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2:14" ht="12.75" customHeight="1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2:14" ht="12.75" customHeight="1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2:14" ht="12.75" customHeight="1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2:14" ht="12.75" customHeight="1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2:14" ht="12.75" customHeight="1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2:14" ht="12.75" customHeight="1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2:14" ht="12.75" customHeight="1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2:14" ht="12.75" customHeight="1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2:14" ht="12.75" customHeight="1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2:14" ht="12.75" customHeight="1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2.75" customHeight="1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2:14" ht="12.75" customHeight="1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2:14" ht="12.75" customHeight="1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2:14" ht="12.75" customHeight="1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2:14" ht="12.75" customHeight="1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2:14" ht="12.75" customHeight="1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2:14" ht="12.75" customHeight="1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2:14" ht="12.75" customHeight="1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2:14" ht="12.75" customHeight="1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2:14" ht="12.75" customHeight="1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2:14" ht="12.75" customHeight="1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2:14" ht="12.75" customHeight="1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2:14" ht="12.75" customHeight="1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2:14" ht="12.75" customHeight="1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2:14" ht="12.75" customHeight="1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2:14" ht="12.75" customHeight="1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2:14" ht="12.75" customHeight="1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2:14" ht="12.75" customHeight="1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2:14" ht="12.75" customHeight="1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2:14" ht="12.75" customHeight="1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2:14" ht="12.75" customHeight="1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2:14" ht="12.75" customHeight="1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2:14" ht="12.75" customHeight="1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2:14" ht="12.75" customHeight="1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2:14" ht="12.75" customHeight="1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2:14" ht="12.75" customHeight="1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2:14" ht="12.75" customHeight="1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2:14" ht="12.75" customHeight="1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2:14" ht="12.75" customHeight="1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2:14" ht="12.75" customHeight="1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2:14" ht="12.75" customHeight="1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2:14" ht="12.75" customHeight="1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2.75" customHeight="1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2:14" ht="12.75" customHeight="1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2:14" ht="12.75" customHeight="1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2:14" ht="12.75" customHeight="1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2:14" ht="12.75" customHeight="1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2:14" ht="12.75" customHeight="1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2:14" ht="12.75" customHeight="1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2:14" ht="12.75" customHeight="1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2:14" ht="12.75" customHeight="1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2:14" ht="12.75" customHeight="1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2:14" ht="12.75" customHeight="1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2:14" ht="12.75" customHeight="1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2:14" ht="12.75" customHeight="1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2:14" ht="12.75" customHeight="1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2:14" ht="12.75" customHeight="1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2:14" ht="12.75" customHeight="1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2:14" ht="12.75" customHeight="1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2:14" ht="12.75" customHeight="1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2:14" ht="12.75" customHeight="1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2:14" ht="12.75" customHeight="1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2:14" ht="12.75" customHeight="1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2:14" ht="12.75" customHeight="1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2:14" ht="12.75" customHeight="1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2:14" ht="12.75" customHeight="1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2:14" ht="12.75" customHeight="1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2:14" ht="12.75" customHeight="1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2:14" ht="12.75" customHeight="1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2:14" ht="12.75" customHeight="1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2:14" ht="12.75" customHeight="1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2:14" ht="12.75" customHeight="1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2:14" ht="12.75" customHeight="1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2:14" ht="12.75" customHeight="1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2.75" customHeight="1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2:14" ht="12.75" customHeight="1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2:14" ht="12.75" customHeight="1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2:14" ht="12.75" customHeight="1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2:14" ht="12.75" customHeight="1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2:14" ht="12.75" customHeight="1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2:14" ht="12.75" customHeight="1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2:14" ht="12.75" customHeight="1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2:14" ht="12.75" customHeight="1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2:14" ht="12.75" customHeight="1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2:14" ht="12.75" customHeight="1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2:14" ht="12.75" customHeight="1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2:14" ht="12.75" customHeight="1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2:14" ht="12.75" customHeight="1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2:14" ht="12.75" customHeight="1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2:14" ht="12.75" customHeight="1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2:14" ht="12.75" customHeight="1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2:14" ht="12.75" customHeight="1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2:14" ht="12.75" customHeight="1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2:14" ht="12.75" customHeight="1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2:14" ht="12.75" customHeight="1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2:14" ht="12.75" customHeight="1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2:14" ht="12.75" customHeight="1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2:14" ht="12.75" customHeight="1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2:14" ht="12.75" customHeight="1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2:14" ht="12.75" customHeight="1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2:14" ht="12.75" customHeight="1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2:14" ht="12.75" customHeight="1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2:14" ht="12.75" customHeight="1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2:14" ht="12.75" customHeight="1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2:14" ht="12.75" customHeight="1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2:14" ht="12.75" customHeight="1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2.75" customHeight="1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2:14" ht="12.75" customHeight="1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2:14" ht="12.75" customHeight="1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2:14" ht="12.75" customHeight="1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2:14" ht="12.75" customHeight="1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2:14" ht="12.75" customHeight="1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2:14" ht="12.75" customHeight="1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2:14" ht="12.75" customHeight="1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2:14" ht="12.75" customHeight="1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2:14" ht="12.75" customHeight="1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2:14" ht="12.75" customHeight="1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2:14" ht="12.75" customHeight="1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2:14" ht="12.75" customHeight="1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2:14" ht="12.75" customHeight="1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2:14" ht="12.75" customHeight="1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2:14" ht="12.75" customHeight="1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2:14" ht="12.75" customHeight="1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2:14" ht="12.75" customHeight="1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2:14" ht="12.75" customHeight="1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2:14" ht="12.75" customHeight="1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2:14" ht="12.75" customHeight="1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2:14" ht="12.75" customHeight="1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2:14" ht="12.75" customHeight="1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2:14" ht="12.75" customHeight="1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2:14" ht="12.75" customHeight="1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2:14" ht="12.75" customHeight="1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2:14" ht="12.75" customHeight="1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2:14" ht="12.75" customHeight="1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2:14" ht="12.75" customHeight="1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2:14" ht="12.75" customHeight="1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2:14" ht="12.75" customHeight="1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2:14" ht="12.75" customHeight="1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2.75" customHeight="1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2:14" ht="12.75" customHeight="1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2:14" ht="12.75" customHeight="1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2:14" ht="12.75" customHeight="1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2:14" ht="12.75" customHeight="1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2:14" ht="12.75" customHeight="1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2:14" ht="12.75" customHeight="1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2:14" ht="12.75" customHeight="1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2:14" ht="12.75" customHeight="1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2:14" ht="12.75" customHeight="1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2:14" ht="12.75" customHeight="1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2:14" ht="12.75" customHeight="1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2:14" ht="12.75" customHeight="1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2:14" ht="12.75" customHeight="1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2:14" ht="12.75" customHeight="1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2:14" ht="12.75" customHeight="1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2:14" ht="12.75" customHeight="1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2:14" ht="12.75" customHeight="1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2:14" ht="12.75" customHeight="1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2:14" ht="12.75" customHeight="1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2:14" ht="12.75" customHeight="1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2:14" ht="12.75" customHeight="1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2:14" ht="12.75" customHeight="1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2:14" ht="12.75" customHeight="1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2:14" ht="12.75" customHeight="1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2:14" ht="12.75" customHeight="1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2:14" ht="12.75" customHeight="1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2:14" ht="12.75" customHeight="1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2:14" ht="12.75" customHeight="1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2:14" ht="12.75" customHeight="1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2:14" ht="12.75" customHeight="1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2:14" ht="12.75" customHeight="1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2.75" customHeight="1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2:14" ht="12.75" customHeight="1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2:14" ht="12.75" customHeight="1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2:14" ht="12.75" customHeight="1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2:14" ht="12.75" customHeight="1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2:14" ht="12.75" customHeight="1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2:14" ht="12.75" customHeight="1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2:14" ht="12.75" customHeight="1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2:14" ht="12.75" customHeight="1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2:14" ht="12.75" customHeight="1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2:14" ht="12.75" customHeight="1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2:14" ht="12.75" customHeight="1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2:14" ht="12.75" customHeight="1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2:14" ht="12.75" customHeight="1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2:14" ht="12.75" customHeight="1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2:14" ht="12.75" customHeight="1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2:14" ht="12.75" customHeight="1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2:14" ht="12.75" customHeight="1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2:14" ht="12.75" customHeight="1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2:14" ht="12.75" customHeight="1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2:14" ht="12.75" customHeight="1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2:14" ht="12.75" customHeight="1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2:14" ht="12.75" customHeight="1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2:14" ht="12.75" customHeight="1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2:14" ht="12.75" customHeight="1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2:14" ht="12.75" customHeight="1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2:14" ht="12.75" customHeight="1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2:14" ht="12.75" customHeight="1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2:14" ht="12.75" customHeight="1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2:14" ht="12.75" customHeight="1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2:14" ht="12.75" customHeight="1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2:14" ht="12.75" customHeight="1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2.75" customHeight="1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2:14" ht="12.75" customHeight="1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2:14" ht="12.75" customHeight="1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2:14" ht="12.75" customHeight="1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2:14" ht="12.75" customHeight="1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2:14" ht="12.75" customHeight="1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2:14" ht="12.75" customHeight="1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2:14" ht="12.75" customHeight="1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2:14" ht="12.75" customHeight="1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2:14" ht="12.75" customHeight="1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2:14" ht="12.75" customHeight="1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2:14" ht="12.75" customHeight="1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2:14" ht="12.75" customHeight="1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2:14" ht="12.75" customHeight="1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2:14" ht="12.75" customHeight="1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2:14" ht="12.75" customHeight="1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2:14" ht="12.75" customHeight="1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2:14" ht="12.75" customHeight="1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2:14" ht="12.75" customHeight="1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2:14" ht="12.75" customHeight="1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2:14" ht="12.75" customHeight="1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2:14" ht="12.75" customHeight="1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2:14" ht="12.75" customHeight="1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2:14" ht="12.75" customHeight="1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2:14" ht="12.75" customHeight="1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2:14" ht="12.75" customHeight="1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2:14" ht="12.75" customHeight="1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2:14" ht="12.75" customHeight="1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2:14" ht="12.75" customHeight="1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2:14" ht="12.75" customHeight="1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2:14" ht="12.75" customHeight="1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2:14" ht="12.75" customHeight="1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2.75" customHeight="1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2:14" ht="12.75" customHeight="1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2:14" ht="12.75" customHeight="1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2:14" ht="12.75" customHeight="1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2:14" ht="12.75" customHeight="1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2:14" ht="12.75" customHeight="1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2:14" ht="12.75" customHeight="1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2:14" ht="12.75" customHeight="1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2:14" ht="12.75" customHeight="1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2:14" ht="12.75" customHeight="1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2:14" ht="12.75" customHeight="1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2:14" ht="12.75" customHeight="1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2:14" ht="12.75" customHeight="1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2:14" ht="12.75" customHeight="1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2:14" ht="12.75" customHeight="1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2:14" ht="12.75" customHeight="1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2:14" ht="12.75" customHeight="1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2:14" ht="12.75" customHeight="1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2:14" ht="12.75" customHeight="1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2:14" ht="12.75" customHeight="1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2:14" ht="12.75" customHeight="1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2:14" ht="12.75" customHeight="1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2:14" ht="12.75" customHeight="1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2:14" ht="12.75" customHeight="1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2:14" ht="12.75" customHeight="1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2:14" ht="12.75" customHeight="1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2:14" ht="12.75" customHeight="1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2:14" ht="12.75" customHeight="1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2:14" ht="12.75" customHeight="1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2:14" ht="12.75" customHeight="1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2:14" ht="12.75" customHeight="1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2:14" ht="12.75" customHeight="1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2.75" customHeight="1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2:14" ht="12.75" customHeight="1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2:14" ht="12.75" customHeight="1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2:14" ht="12.75" customHeight="1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2:14" ht="12.75" customHeight="1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2:14" ht="12.75" customHeight="1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2:14" ht="12.75" customHeight="1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2:14" ht="12.75" customHeight="1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2:14" ht="12.75" customHeight="1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2:14" ht="12.75" customHeight="1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2:14" ht="12.75" customHeight="1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2:14" ht="12.75" customHeight="1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2:14" ht="12.75" customHeight="1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2:14" ht="12.75" customHeight="1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2:14" ht="12.75" customHeight="1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2:14" ht="12.75" customHeight="1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2:14" ht="12.75" customHeight="1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2:14" ht="12.75" customHeight="1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2:14" ht="12.75" customHeight="1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2:14" ht="12.75" customHeight="1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2:14" ht="12.75" customHeight="1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2:14" ht="12.75" customHeight="1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2:14" ht="12.75" customHeight="1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2:14" ht="12.75" customHeight="1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2:14" ht="12.75" customHeight="1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2:14" ht="12.75" customHeight="1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2:14" ht="12.75" customHeight="1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2:14" ht="12.75" customHeight="1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2:14" ht="12.75" customHeight="1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2:14" ht="12.75" customHeight="1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2:14" ht="12.75" customHeight="1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2:14" ht="12.75" customHeight="1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2.75" customHeight="1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2:14" ht="12.75" customHeight="1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2:14" ht="12.75" customHeight="1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2:14" ht="12.75" customHeight="1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2:14" ht="12.75" customHeight="1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2:14" ht="12.75" customHeight="1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2:14" ht="12.75" customHeight="1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2:14" ht="12.75" customHeight="1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2:14" ht="12.75" customHeight="1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2:14" ht="12.75" customHeight="1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2:14" ht="12.75" customHeight="1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2:14" ht="12.75" customHeight="1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2:14" ht="12.75" customHeight="1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2:14" ht="12.75" customHeight="1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2:14" ht="12.75" customHeight="1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2:14" ht="12.75" customHeight="1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2:14" ht="12.75" customHeight="1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2:14" ht="12.75" customHeight="1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2:14" ht="12.75" customHeight="1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2:14" ht="12.75" customHeight="1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2:14" ht="12.75" customHeight="1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2:14" ht="12.75" customHeight="1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2:14" ht="12.75" customHeight="1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2:14" ht="12.75" customHeight="1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2:14" ht="12.75" customHeight="1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2:14" ht="12.75" customHeight="1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2:14" ht="12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2:14" ht="12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2:14" ht="12.75" customHeight="1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2:14" ht="12.75" customHeight="1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2:14" ht="12.75" customHeight="1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2:14" ht="12.75" customHeight="1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2.75" customHeight="1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2:14" ht="12.75" customHeight="1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2:14" ht="12.75" customHeight="1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2:14" ht="12.75" customHeight="1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2:14" ht="12.75" customHeight="1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2:14" ht="12.75" customHeight="1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2:14" ht="12.75" customHeight="1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2:14" ht="12.75" customHeight="1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2:14" ht="12.75" customHeight="1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2:14" ht="12.75" customHeight="1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2:14" ht="12.75" customHeight="1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2:14" ht="12.75" customHeight="1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2:14" ht="12.75" customHeight="1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2:14" ht="12.75" customHeight="1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2:14" ht="12.75" customHeight="1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2:14" ht="12.75" customHeight="1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2:14" ht="12.75" customHeight="1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2:14" ht="12.75" customHeight="1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2:14" ht="12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2:14" ht="12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2:14" ht="12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2:14" ht="12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2:14" ht="12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2:14" ht="12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2:14" ht="12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2:14" ht="12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2:14" ht="12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2:14" ht="12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2:14" ht="12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57</vt:lpstr>
      <vt:lpstr>1285</vt:lpstr>
      <vt:lpstr>1292</vt:lpstr>
      <vt:lpstr>8-64</vt:lpstr>
      <vt:lpstr>686</vt:lpstr>
      <vt:lpstr>690</vt:lpstr>
      <vt:lpstr>485</vt:lpstr>
      <vt:lpstr>959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Марширов Виктор Викторович</cp:lastModifiedBy>
  <cp:revision/>
  <dcterms:created xsi:type="dcterms:W3CDTF">1996-10-08T23:32:33Z</dcterms:created>
  <dcterms:modified xsi:type="dcterms:W3CDTF">2026-01-15T14:53:30Z</dcterms:modified>
  <cp:category/>
  <cp:contentStatus/>
</cp:coreProperties>
</file>